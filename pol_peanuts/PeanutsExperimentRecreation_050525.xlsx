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ili\Desktop\"/>
    </mc:Choice>
  </mc:AlternateContent>
  <xr:revisionPtr revIDLastSave="0" documentId="13_ncr:1_{F2196916-50E3-4B5B-97D2-ACCFB69FAAEE}" xr6:coauthVersionLast="47" xr6:coauthVersionMax="47" xr10:uidLastSave="{00000000-0000-0000-0000-000000000000}"/>
  <bookViews>
    <workbookView xWindow="-108" yWindow="-108" windowWidth="23256" windowHeight="12456" xr2:uid="{90D6AD7A-1B0C-4EB3-8600-769FB752B622}"/>
  </bookViews>
  <sheets>
    <sheet name="Sheet1" sheetId="1" r:id="rId1"/>
    <sheet name="Sheet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B41" i="1" l="1"/>
  <c r="CA41" i="1"/>
  <c r="CB40" i="1"/>
  <c r="CA40" i="1"/>
  <c r="CB39" i="1"/>
  <c r="CA39" i="1"/>
  <c r="CB38" i="1"/>
  <c r="CA38" i="1"/>
  <c r="CB37" i="1"/>
  <c r="CA37" i="1"/>
  <c r="CB36" i="1"/>
  <c r="CA36" i="1"/>
  <c r="CB35" i="1"/>
  <c r="CA35" i="1"/>
  <c r="CB34" i="1"/>
  <c r="CA34" i="1"/>
  <c r="CB33" i="1"/>
  <c r="CA33" i="1"/>
  <c r="CB32" i="1"/>
  <c r="CA32" i="1"/>
  <c r="CB31" i="1"/>
  <c r="CA31" i="1"/>
  <c r="CB30" i="1"/>
  <c r="CA30" i="1"/>
  <c r="CB29" i="1"/>
  <c r="CA29" i="1"/>
  <c r="CB28" i="1"/>
  <c r="CA28" i="1"/>
  <c r="CB27" i="1"/>
  <c r="CA27" i="1"/>
  <c r="CB26" i="1"/>
  <c r="CA26" i="1"/>
  <c r="CB25" i="1"/>
  <c r="CA25" i="1"/>
  <c r="CB24" i="1"/>
  <c r="CA24" i="1"/>
  <c r="CB23" i="1"/>
  <c r="CA23" i="1"/>
  <c r="CB22" i="1"/>
  <c r="CA22" i="1"/>
  <c r="CB21" i="1"/>
  <c r="CA21" i="1"/>
  <c r="CB20" i="1"/>
  <c r="CA20" i="1"/>
  <c r="CB19" i="1"/>
  <c r="CA19" i="1"/>
  <c r="CB18" i="1"/>
  <c r="CA18" i="1"/>
  <c r="CB17" i="1"/>
  <c r="CA17" i="1"/>
  <c r="CB16" i="1"/>
  <c r="CA16" i="1"/>
  <c r="CB15" i="1"/>
  <c r="CA15" i="1"/>
  <c r="CB14" i="1"/>
  <c r="CA14" i="1"/>
  <c r="CB13" i="1"/>
  <c r="CA13" i="1"/>
  <c r="CB12" i="1"/>
  <c r="CA12" i="1"/>
  <c r="CB11" i="1"/>
  <c r="CA11" i="1"/>
  <c r="CB10" i="1"/>
  <c r="CA10" i="1"/>
  <c r="CB9" i="1"/>
  <c r="CA9" i="1"/>
  <c r="CB8" i="1"/>
  <c r="CA8" i="1"/>
  <c r="CB7" i="1"/>
  <c r="CA7" i="1"/>
  <c r="CB6" i="1"/>
  <c r="CA6" i="1"/>
  <c r="CB5" i="1"/>
  <c r="CA5" i="1"/>
  <c r="BS41" i="1"/>
  <c r="BR41" i="1"/>
  <c r="BS40" i="1"/>
  <c r="BR40" i="1"/>
  <c r="BS39" i="1"/>
  <c r="BR39" i="1"/>
  <c r="BS38" i="1"/>
  <c r="BR38" i="1"/>
  <c r="BS37" i="1"/>
  <c r="BR37" i="1"/>
  <c r="BS36" i="1"/>
  <c r="BR36" i="1"/>
  <c r="BS35" i="1"/>
  <c r="BR35" i="1"/>
  <c r="BS34" i="1"/>
  <c r="BR34" i="1"/>
  <c r="BS33" i="1"/>
  <c r="BR33" i="1"/>
  <c r="BS32" i="1"/>
  <c r="BR32" i="1"/>
  <c r="BS31" i="1"/>
  <c r="BR31" i="1"/>
  <c r="BS30" i="1"/>
  <c r="BR30" i="1"/>
  <c r="BS29" i="1"/>
  <c r="BR29" i="1"/>
  <c r="BS28" i="1"/>
  <c r="BR28" i="1"/>
  <c r="BS27" i="1"/>
  <c r="BR27" i="1"/>
  <c r="BS26" i="1"/>
  <c r="BR26" i="1"/>
  <c r="BS25" i="1"/>
  <c r="BR25" i="1"/>
  <c r="BS24" i="1"/>
  <c r="BR24" i="1"/>
  <c r="BS23" i="1"/>
  <c r="BR23" i="1"/>
  <c r="BS22" i="1"/>
  <c r="BR22" i="1"/>
  <c r="BS21" i="1"/>
  <c r="BR21" i="1"/>
  <c r="BS20" i="1"/>
  <c r="BR20" i="1"/>
  <c r="BS19" i="1"/>
  <c r="BR19" i="1"/>
  <c r="BS18" i="1"/>
  <c r="BR18" i="1"/>
  <c r="BS17" i="1"/>
  <c r="BR17" i="1"/>
  <c r="BS16" i="1"/>
  <c r="BR16" i="1"/>
  <c r="BS15" i="1"/>
  <c r="BR15" i="1"/>
  <c r="BS14" i="1"/>
  <c r="BR14" i="1"/>
  <c r="BS13" i="1"/>
  <c r="BR13" i="1"/>
  <c r="BS12" i="1"/>
  <c r="BR12" i="1"/>
  <c r="BS11" i="1"/>
  <c r="BR11" i="1"/>
  <c r="BS10" i="1"/>
  <c r="BR10" i="1"/>
  <c r="BS9" i="1"/>
  <c r="BR9" i="1"/>
  <c r="BS8" i="1"/>
  <c r="BR8" i="1"/>
  <c r="BS7" i="1"/>
  <c r="BR7" i="1"/>
  <c r="BS6" i="1"/>
  <c r="BR6" i="1"/>
  <c r="BS5" i="1"/>
  <c r="BR5" i="1"/>
  <c r="BJ41" i="1"/>
  <c r="BI41" i="1"/>
  <c r="BJ40" i="1"/>
  <c r="BI40" i="1"/>
  <c r="BJ39" i="1"/>
  <c r="BI39" i="1"/>
  <c r="BJ38" i="1"/>
  <c r="BI38" i="1"/>
  <c r="BJ37" i="1"/>
  <c r="BI37" i="1"/>
  <c r="BJ36" i="1"/>
  <c r="BI36" i="1"/>
  <c r="BJ35" i="1"/>
  <c r="BI35" i="1"/>
  <c r="BJ34" i="1"/>
  <c r="BI34" i="1"/>
  <c r="BJ33" i="1"/>
  <c r="BI33" i="1"/>
  <c r="BJ32" i="1"/>
  <c r="BI32" i="1"/>
  <c r="BJ31" i="1"/>
  <c r="BI31" i="1"/>
  <c r="BJ30" i="1"/>
  <c r="BI30" i="1"/>
  <c r="BJ29" i="1"/>
  <c r="BI29" i="1"/>
  <c r="BJ28" i="1"/>
  <c r="BI28" i="1"/>
  <c r="BJ27" i="1"/>
  <c r="BI27" i="1"/>
  <c r="BJ26" i="1"/>
  <c r="BI26" i="1"/>
  <c r="BJ25" i="1"/>
  <c r="BI25" i="1"/>
  <c r="BJ24" i="1"/>
  <c r="BI24" i="1"/>
  <c r="BJ23" i="1"/>
  <c r="BI23" i="1"/>
  <c r="BJ22" i="1"/>
  <c r="BI22" i="1"/>
  <c r="BJ21" i="1"/>
  <c r="BI21" i="1"/>
  <c r="BJ20" i="1"/>
  <c r="BI20" i="1"/>
  <c r="BJ19" i="1"/>
  <c r="BI19" i="1"/>
  <c r="BJ18" i="1"/>
  <c r="BI18" i="1"/>
  <c r="BJ17" i="1"/>
  <c r="BI17" i="1"/>
  <c r="BJ16" i="1"/>
  <c r="BI16" i="1"/>
  <c r="BJ15" i="1"/>
  <c r="BI15" i="1"/>
  <c r="BJ14" i="1"/>
  <c r="BI14" i="1"/>
  <c r="BJ13" i="1"/>
  <c r="BI13" i="1"/>
  <c r="BJ12" i="1"/>
  <c r="BI12" i="1"/>
  <c r="BJ11" i="1"/>
  <c r="BI11" i="1"/>
  <c r="BJ10" i="1"/>
  <c r="BI10" i="1"/>
  <c r="BJ9" i="1"/>
  <c r="BI9" i="1"/>
  <c r="BJ8" i="1"/>
  <c r="BI8" i="1"/>
  <c r="BJ7" i="1"/>
  <c r="BI7" i="1"/>
  <c r="BJ6" i="1"/>
  <c r="BI6" i="1"/>
  <c r="BJ5" i="1"/>
  <c r="BI5" i="1"/>
  <c r="BA41" i="1"/>
  <c r="AZ41" i="1"/>
  <c r="BA40" i="1"/>
  <c r="AZ40" i="1"/>
  <c r="BA39" i="1"/>
  <c r="AZ39" i="1"/>
  <c r="BA38" i="1"/>
  <c r="AZ38" i="1"/>
  <c r="BA37" i="1"/>
  <c r="AZ37" i="1"/>
  <c r="BA36" i="1"/>
  <c r="AZ36" i="1"/>
  <c r="BA35" i="1"/>
  <c r="AZ35" i="1"/>
  <c r="BA34" i="1"/>
  <c r="AZ34" i="1"/>
  <c r="BA33" i="1"/>
  <c r="AZ33" i="1"/>
  <c r="BA32" i="1"/>
  <c r="AZ32" i="1"/>
  <c r="BA31" i="1"/>
  <c r="AZ31" i="1"/>
  <c r="BA30" i="1"/>
  <c r="AZ30" i="1"/>
  <c r="BA29" i="1"/>
  <c r="AZ29" i="1"/>
  <c r="BA28" i="1"/>
  <c r="AZ28" i="1"/>
  <c r="BA27" i="1"/>
  <c r="AZ27" i="1"/>
  <c r="BA26" i="1"/>
  <c r="AZ26" i="1"/>
  <c r="BA25" i="1"/>
  <c r="AZ25" i="1"/>
  <c r="BA24" i="1"/>
  <c r="AZ24" i="1"/>
  <c r="BA23" i="1"/>
  <c r="AZ23" i="1"/>
  <c r="BA22" i="1"/>
  <c r="AZ22" i="1"/>
  <c r="BA21" i="1"/>
  <c r="AZ21" i="1"/>
  <c r="BA20" i="1"/>
  <c r="AZ20" i="1"/>
  <c r="BA19" i="1"/>
  <c r="AZ19" i="1"/>
  <c r="BA18" i="1"/>
  <c r="AZ18" i="1"/>
  <c r="BA17" i="1"/>
  <c r="AZ17" i="1"/>
  <c r="BA16" i="1"/>
  <c r="AZ16" i="1"/>
  <c r="BA15" i="1"/>
  <c r="AZ15" i="1"/>
  <c r="BA14" i="1"/>
  <c r="AZ14" i="1"/>
  <c r="BA13" i="1"/>
  <c r="AZ13" i="1"/>
  <c r="BA12" i="1"/>
  <c r="AZ12" i="1"/>
  <c r="BA11" i="1"/>
  <c r="AZ11" i="1"/>
  <c r="BA10" i="1"/>
  <c r="AZ10" i="1"/>
  <c r="BA9" i="1"/>
  <c r="AZ9" i="1"/>
  <c r="BA8" i="1"/>
  <c r="AZ8" i="1"/>
  <c r="BA7" i="1"/>
  <c r="AZ7" i="1"/>
  <c r="BA6" i="1"/>
  <c r="AZ6" i="1"/>
  <c r="BA5" i="1"/>
  <c r="AZ5" i="1"/>
  <c r="AR41" i="1"/>
  <c r="AQ41" i="1"/>
  <c r="AR40" i="1"/>
  <c r="AQ40" i="1"/>
  <c r="AR39" i="1"/>
  <c r="AQ39" i="1"/>
  <c r="AR38" i="1"/>
  <c r="AQ38" i="1"/>
  <c r="AR37" i="1"/>
  <c r="AQ37" i="1"/>
  <c r="AR36" i="1"/>
  <c r="AQ36" i="1"/>
  <c r="AR35" i="1"/>
  <c r="AQ35" i="1"/>
  <c r="AR34" i="1"/>
  <c r="AQ34" i="1"/>
  <c r="AR33" i="1"/>
  <c r="AQ33" i="1"/>
  <c r="AR32" i="1"/>
  <c r="AQ32" i="1"/>
  <c r="AR31" i="1"/>
  <c r="AQ31" i="1"/>
  <c r="AR30" i="1"/>
  <c r="AQ30" i="1"/>
  <c r="AR29" i="1"/>
  <c r="AQ29" i="1"/>
  <c r="AR28" i="1"/>
  <c r="AQ28" i="1"/>
  <c r="AR27" i="1"/>
  <c r="AQ27" i="1"/>
  <c r="AR26" i="1"/>
  <c r="AQ26" i="1"/>
  <c r="AR25" i="1"/>
  <c r="AQ25" i="1"/>
  <c r="AR24" i="1"/>
  <c r="AQ24" i="1"/>
  <c r="AR23" i="1"/>
  <c r="AQ23" i="1"/>
  <c r="AR22" i="1"/>
  <c r="AQ22" i="1"/>
  <c r="AR21" i="1"/>
  <c r="AQ21" i="1"/>
  <c r="AR20" i="1"/>
  <c r="AQ20" i="1"/>
  <c r="AR19" i="1"/>
  <c r="AQ19" i="1"/>
  <c r="AR18" i="1"/>
  <c r="AQ18" i="1"/>
  <c r="AR17" i="1"/>
  <c r="AQ17" i="1"/>
  <c r="AR16" i="1"/>
  <c r="AQ16" i="1"/>
  <c r="AR15" i="1"/>
  <c r="AQ15" i="1"/>
  <c r="AR14" i="1"/>
  <c r="AQ14" i="1"/>
  <c r="AR13" i="1"/>
  <c r="AQ13" i="1"/>
  <c r="AR12" i="1"/>
  <c r="AQ12" i="1"/>
  <c r="AR11" i="1"/>
  <c r="AQ11" i="1"/>
  <c r="AR10" i="1"/>
  <c r="AQ10" i="1"/>
  <c r="AR9" i="1"/>
  <c r="AQ9" i="1"/>
  <c r="AR8" i="1"/>
  <c r="AQ8" i="1"/>
  <c r="AR7" i="1"/>
  <c r="AQ7" i="1"/>
  <c r="AR6" i="1"/>
  <c r="AQ6" i="1"/>
  <c r="AR5" i="1"/>
  <c r="AQ5" i="1"/>
  <c r="AI41" i="1"/>
  <c r="AH41" i="1"/>
  <c r="AI40" i="1"/>
  <c r="AH40" i="1"/>
  <c r="AI39" i="1"/>
  <c r="AH39" i="1"/>
  <c r="AI38" i="1"/>
  <c r="AH38" i="1"/>
  <c r="AI37" i="1"/>
  <c r="AH37" i="1"/>
  <c r="AI36" i="1"/>
  <c r="AH36" i="1"/>
  <c r="AI35" i="1"/>
  <c r="AH35" i="1"/>
  <c r="AI34" i="1"/>
  <c r="AH34" i="1"/>
  <c r="AI33" i="1"/>
  <c r="AH33" i="1"/>
  <c r="AI32" i="1"/>
  <c r="AH32" i="1"/>
  <c r="AI31" i="1"/>
  <c r="AH31" i="1"/>
  <c r="AI30" i="1"/>
  <c r="AH30" i="1"/>
  <c r="AI29" i="1"/>
  <c r="AH29" i="1"/>
  <c r="AI28" i="1"/>
  <c r="AH28" i="1"/>
  <c r="AI27" i="1"/>
  <c r="AH27" i="1"/>
  <c r="AI26" i="1"/>
  <c r="AH26" i="1"/>
  <c r="AI25" i="1"/>
  <c r="AH25" i="1"/>
  <c r="AI24" i="1"/>
  <c r="AH24" i="1"/>
  <c r="AI23" i="1"/>
  <c r="AH23" i="1"/>
  <c r="AI22" i="1"/>
  <c r="AH22" i="1"/>
  <c r="AI21" i="1"/>
  <c r="AH21" i="1"/>
  <c r="AI20" i="1"/>
  <c r="AH20" i="1"/>
  <c r="AI19" i="1"/>
  <c r="AH19" i="1"/>
  <c r="AI18" i="1"/>
  <c r="AH18" i="1"/>
  <c r="AI17" i="1"/>
  <c r="AH17" i="1"/>
  <c r="AI16" i="1"/>
  <c r="AH16" i="1"/>
  <c r="AI15" i="1"/>
  <c r="AH15" i="1"/>
  <c r="AI14" i="1"/>
  <c r="AH14" i="1"/>
  <c r="AI13" i="1"/>
  <c r="AH13" i="1"/>
  <c r="AI12" i="1"/>
  <c r="AH12" i="1"/>
  <c r="AI11" i="1"/>
  <c r="AH11" i="1"/>
  <c r="AI10" i="1"/>
  <c r="AH10" i="1"/>
  <c r="AI9" i="1"/>
  <c r="AH9" i="1"/>
  <c r="AI8" i="1"/>
  <c r="AH8" i="1"/>
  <c r="AI7" i="1"/>
  <c r="AH7" i="1"/>
  <c r="AI6" i="1"/>
  <c r="AH6" i="1"/>
  <c r="AI5" i="1"/>
  <c r="AH5" i="1"/>
  <c r="Z41" i="1"/>
  <c r="Y41" i="1"/>
  <c r="Z40" i="1"/>
  <c r="Y40" i="1"/>
  <c r="Z39" i="1"/>
  <c r="Y39" i="1"/>
  <c r="Z38" i="1"/>
  <c r="Y38" i="1"/>
  <c r="Z37" i="1"/>
  <c r="Y37" i="1"/>
  <c r="Z36" i="1"/>
  <c r="Y36" i="1"/>
  <c r="Z35" i="1"/>
  <c r="Y35" i="1"/>
  <c r="Z34" i="1"/>
  <c r="Y34" i="1"/>
  <c r="Z33" i="1"/>
  <c r="Y33" i="1"/>
  <c r="Z32" i="1"/>
  <c r="Y32" i="1"/>
  <c r="Z31" i="1"/>
  <c r="Y31" i="1"/>
  <c r="Z30" i="1"/>
  <c r="Y30" i="1"/>
  <c r="Z29" i="1"/>
  <c r="Y29" i="1"/>
  <c r="Z28" i="1"/>
  <c r="Y28" i="1"/>
  <c r="Z27" i="1"/>
  <c r="Y27" i="1"/>
  <c r="Z26" i="1"/>
  <c r="Y26" i="1"/>
  <c r="Z25" i="1"/>
  <c r="Y25" i="1"/>
  <c r="Z24" i="1"/>
  <c r="Y24" i="1"/>
  <c r="Z23" i="1"/>
  <c r="Y23" i="1"/>
  <c r="Z22" i="1"/>
  <c r="Y22" i="1"/>
  <c r="Z21" i="1"/>
  <c r="Y21" i="1"/>
  <c r="Z20" i="1"/>
  <c r="Y20" i="1"/>
  <c r="Z19" i="1"/>
  <c r="Y19" i="1"/>
  <c r="Z18" i="1"/>
  <c r="Y18" i="1"/>
  <c r="Z17" i="1"/>
  <c r="Y17" i="1"/>
  <c r="Z16" i="1"/>
  <c r="Y16" i="1"/>
  <c r="Z15" i="1"/>
  <c r="Y15" i="1"/>
  <c r="Z14" i="1"/>
  <c r="Y14" i="1"/>
  <c r="Z13" i="1"/>
  <c r="Y13" i="1"/>
  <c r="Z12" i="1"/>
  <c r="Y12" i="1"/>
  <c r="Z11" i="1"/>
  <c r="Y11" i="1"/>
  <c r="Z10" i="1"/>
  <c r="Y10" i="1"/>
  <c r="Z9" i="1"/>
  <c r="Y9" i="1"/>
  <c r="Z8" i="1"/>
  <c r="Y8" i="1"/>
  <c r="Z7" i="1"/>
  <c r="Y7" i="1"/>
  <c r="Z6" i="1"/>
  <c r="Y6" i="1"/>
  <c r="Z5" i="1"/>
  <c r="Y5" i="1"/>
  <c r="Q41" i="1"/>
  <c r="P41" i="1"/>
  <c r="Q40" i="1"/>
  <c r="P40" i="1"/>
  <c r="Q39" i="1"/>
  <c r="P39" i="1"/>
  <c r="Q38" i="1"/>
  <c r="P38" i="1"/>
  <c r="Q37" i="1"/>
  <c r="P37" i="1"/>
  <c r="Q36" i="1"/>
  <c r="P36" i="1"/>
  <c r="Q35" i="1"/>
  <c r="P35" i="1"/>
  <c r="Q34" i="1"/>
  <c r="P34" i="1"/>
  <c r="Q33" i="1"/>
  <c r="P33" i="1"/>
  <c r="Q32" i="1"/>
  <c r="P32" i="1"/>
  <c r="Q31" i="1"/>
  <c r="P31" i="1"/>
  <c r="Q30" i="1"/>
  <c r="P30" i="1"/>
  <c r="Q29" i="1"/>
  <c r="P29" i="1"/>
  <c r="Q28" i="1"/>
  <c r="P28" i="1"/>
  <c r="Q27" i="1"/>
  <c r="P27" i="1"/>
  <c r="Q26" i="1"/>
  <c r="P26" i="1"/>
  <c r="Q25" i="1"/>
  <c r="P25" i="1"/>
  <c r="Q24" i="1"/>
  <c r="P24" i="1"/>
  <c r="Q23" i="1"/>
  <c r="P23" i="1"/>
  <c r="Q22" i="1"/>
  <c r="P22" i="1"/>
  <c r="Q21" i="1"/>
  <c r="P21" i="1"/>
  <c r="Q20" i="1"/>
  <c r="P20" i="1"/>
  <c r="Q19" i="1"/>
  <c r="P19" i="1"/>
  <c r="Q18" i="1"/>
  <c r="P18" i="1"/>
  <c r="Q17" i="1"/>
  <c r="P17" i="1"/>
  <c r="Q16" i="1"/>
  <c r="P16" i="1"/>
  <c r="Q15" i="1"/>
  <c r="P15" i="1"/>
  <c r="Q14" i="1"/>
  <c r="P14" i="1"/>
  <c r="Q13" i="1"/>
  <c r="P13" i="1"/>
  <c r="Q12" i="1"/>
  <c r="P12" i="1"/>
  <c r="Q11" i="1"/>
  <c r="P11" i="1"/>
  <c r="Q10" i="1"/>
  <c r="P10" i="1"/>
  <c r="Q9" i="1"/>
  <c r="P9" i="1"/>
  <c r="Q8" i="1"/>
  <c r="P8" i="1"/>
  <c r="Q7" i="1"/>
  <c r="P7" i="1"/>
  <c r="Q6" i="1"/>
  <c r="P6" i="1"/>
  <c r="Q5" i="1"/>
  <c r="P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5" i="1"/>
  <c r="R7" i="2"/>
  <c r="R8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32" i="2"/>
  <c r="R33" i="2"/>
  <c r="R34" i="2"/>
  <c r="R35" i="2"/>
  <c r="R36" i="2"/>
  <c r="R37" i="2"/>
  <c r="R38" i="2"/>
  <c r="R39" i="2"/>
  <c r="R40" i="2"/>
  <c r="R41" i="2"/>
  <c r="R5" i="2"/>
  <c r="AY6" i="2"/>
  <c r="AY7" i="2" s="1"/>
  <c r="AY8" i="2" s="1"/>
  <c r="AY9" i="2" s="1"/>
  <c r="AY10" i="2" s="1"/>
  <c r="AY11" i="2" s="1"/>
  <c r="AY12" i="2" s="1"/>
  <c r="AY13" i="2" s="1"/>
  <c r="AY14" i="2" s="1"/>
  <c r="AY15" i="2" s="1"/>
  <c r="AY16" i="2" s="1"/>
  <c r="AY17" i="2" s="1"/>
  <c r="AY18" i="2" s="1"/>
  <c r="AY19" i="2" s="1"/>
  <c r="AY20" i="2" s="1"/>
  <c r="AY21" i="2" s="1"/>
  <c r="AY22" i="2" s="1"/>
  <c r="AY23" i="2" s="1"/>
  <c r="AY24" i="2" s="1"/>
  <c r="AY25" i="2" s="1"/>
  <c r="AY26" i="2" s="1"/>
  <c r="AY27" i="2" s="1"/>
  <c r="AY28" i="2" s="1"/>
  <c r="AY29" i="2" s="1"/>
  <c r="AY30" i="2" s="1"/>
  <c r="AY31" i="2" s="1"/>
  <c r="AY32" i="2" s="1"/>
  <c r="AY33" i="2" s="1"/>
  <c r="AY34" i="2" s="1"/>
  <c r="AY35" i="2" s="1"/>
  <c r="AY36" i="2" s="1"/>
  <c r="AY37" i="2" s="1"/>
  <c r="AY38" i="2" s="1"/>
  <c r="AY39" i="2" s="1"/>
  <c r="AY40" i="2" s="1"/>
  <c r="AY41" i="2" s="1"/>
  <c r="AS6" i="2"/>
  <c r="AS7" i="2" s="1"/>
  <c r="AS8" i="2" s="1"/>
  <c r="AS9" i="2" s="1"/>
  <c r="AS10" i="2" s="1"/>
  <c r="AS11" i="2" s="1"/>
  <c r="AS12" i="2" s="1"/>
  <c r="AS13" i="2" s="1"/>
  <c r="AS14" i="2" s="1"/>
  <c r="AS15" i="2" s="1"/>
  <c r="AS16" i="2" s="1"/>
  <c r="AS17" i="2" s="1"/>
  <c r="AS18" i="2" s="1"/>
  <c r="AS19" i="2" s="1"/>
  <c r="AS20" i="2" s="1"/>
  <c r="AS21" i="2" s="1"/>
  <c r="AS22" i="2" s="1"/>
  <c r="AS23" i="2" s="1"/>
  <c r="AS24" i="2" s="1"/>
  <c r="AS25" i="2" s="1"/>
  <c r="AS26" i="2" s="1"/>
  <c r="AS27" i="2" s="1"/>
  <c r="AS28" i="2" s="1"/>
  <c r="AS29" i="2" s="1"/>
  <c r="AS30" i="2" s="1"/>
  <c r="AS31" i="2" s="1"/>
  <c r="AS32" i="2" s="1"/>
  <c r="AS33" i="2" s="1"/>
  <c r="AS34" i="2" s="1"/>
  <c r="AS35" i="2" s="1"/>
  <c r="AS36" i="2" s="1"/>
  <c r="AS37" i="2" s="1"/>
  <c r="AS38" i="2" s="1"/>
  <c r="AS39" i="2" s="1"/>
  <c r="AS40" i="2" s="1"/>
  <c r="AS41" i="2" s="1"/>
  <c r="AM6" i="2"/>
  <c r="AM7" i="2" s="1"/>
  <c r="AM8" i="2" s="1"/>
  <c r="AM9" i="2" s="1"/>
  <c r="AM10" i="2" s="1"/>
  <c r="AM11" i="2" s="1"/>
  <c r="AM12" i="2" s="1"/>
  <c r="AM13" i="2" s="1"/>
  <c r="AM14" i="2" s="1"/>
  <c r="AM15" i="2" s="1"/>
  <c r="AM16" i="2" s="1"/>
  <c r="AM17" i="2" s="1"/>
  <c r="AM18" i="2" s="1"/>
  <c r="AM19" i="2" s="1"/>
  <c r="AM20" i="2" s="1"/>
  <c r="AM21" i="2" s="1"/>
  <c r="AM22" i="2" s="1"/>
  <c r="AM23" i="2" s="1"/>
  <c r="AM24" i="2" s="1"/>
  <c r="AM25" i="2" s="1"/>
  <c r="AM26" i="2" s="1"/>
  <c r="AM27" i="2" s="1"/>
  <c r="AM28" i="2" s="1"/>
  <c r="AM29" i="2" s="1"/>
  <c r="AM30" i="2" s="1"/>
  <c r="AM31" i="2" s="1"/>
  <c r="AM32" i="2" s="1"/>
  <c r="AM33" i="2" s="1"/>
  <c r="AM34" i="2" s="1"/>
  <c r="AM35" i="2" s="1"/>
  <c r="AM36" i="2" s="1"/>
  <c r="AM37" i="2" s="1"/>
  <c r="AM38" i="2" s="1"/>
  <c r="AM39" i="2" s="1"/>
  <c r="AM40" i="2" s="1"/>
  <c r="AM41" i="2" s="1"/>
  <c r="AG6" i="2"/>
  <c r="AG7" i="2" s="1"/>
  <c r="AG8" i="2" s="1"/>
  <c r="AG9" i="2" s="1"/>
  <c r="AG10" i="2" s="1"/>
  <c r="AG11" i="2" s="1"/>
  <c r="AG12" i="2" s="1"/>
  <c r="AG13" i="2" s="1"/>
  <c r="AG14" i="2" s="1"/>
  <c r="AG15" i="2" s="1"/>
  <c r="AG16" i="2" s="1"/>
  <c r="AG17" i="2" s="1"/>
  <c r="AG18" i="2" s="1"/>
  <c r="AG19" i="2" s="1"/>
  <c r="AG20" i="2" s="1"/>
  <c r="AG21" i="2" s="1"/>
  <c r="AG22" i="2" s="1"/>
  <c r="AG23" i="2" s="1"/>
  <c r="AG24" i="2" s="1"/>
  <c r="AG25" i="2" s="1"/>
  <c r="AG26" i="2" s="1"/>
  <c r="AG27" i="2" s="1"/>
  <c r="AG28" i="2" s="1"/>
  <c r="AG29" i="2" s="1"/>
  <c r="AG30" i="2" s="1"/>
  <c r="AG31" i="2" s="1"/>
  <c r="AG32" i="2" s="1"/>
  <c r="AG33" i="2" s="1"/>
  <c r="AG34" i="2" s="1"/>
  <c r="AG35" i="2" s="1"/>
  <c r="AG36" i="2" s="1"/>
  <c r="AG37" i="2" s="1"/>
  <c r="AG38" i="2" s="1"/>
  <c r="AG39" i="2" s="1"/>
  <c r="AG40" i="2" s="1"/>
  <c r="AG41" i="2" s="1"/>
  <c r="AA6" i="2"/>
  <c r="AA7" i="2" s="1"/>
  <c r="AA8" i="2" s="1"/>
  <c r="AA9" i="2" s="1"/>
  <c r="AA10" i="2" s="1"/>
  <c r="AA11" i="2" s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A35" i="2" s="1"/>
  <c r="AA36" i="2" s="1"/>
  <c r="AA37" i="2" s="1"/>
  <c r="AA38" i="2" s="1"/>
  <c r="AA39" i="2" s="1"/>
  <c r="AA40" i="2" s="1"/>
  <c r="AA41" i="2" s="1"/>
  <c r="U6" i="2"/>
  <c r="U7" i="2" s="1"/>
  <c r="U8" i="2" s="1"/>
  <c r="U9" i="2" s="1"/>
  <c r="U10" i="2" s="1"/>
  <c r="U11" i="2" s="1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R6" i="2"/>
  <c r="O6" i="2"/>
  <c r="O7" i="2" s="1"/>
  <c r="O8" i="2" s="1"/>
  <c r="O9" i="2" s="1"/>
  <c r="O10" i="2" s="1"/>
  <c r="O11" i="2" s="1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I6" i="2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C6" i="2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BW6" i="1"/>
  <c r="BW7" i="1" s="1"/>
  <c r="BW8" i="1" s="1"/>
  <c r="BW9" i="1" s="1"/>
  <c r="BW10" i="1" s="1"/>
  <c r="BW11" i="1" s="1"/>
  <c r="BW12" i="1" s="1"/>
  <c r="BW13" i="1" s="1"/>
  <c r="BW14" i="1" s="1"/>
  <c r="BW15" i="1" s="1"/>
  <c r="BW16" i="1" s="1"/>
  <c r="BW17" i="1" s="1"/>
  <c r="BW18" i="1" s="1"/>
  <c r="BW19" i="1" s="1"/>
  <c r="BW20" i="1" s="1"/>
  <c r="BW21" i="1" s="1"/>
  <c r="BW22" i="1" s="1"/>
  <c r="BW23" i="1" s="1"/>
  <c r="BW24" i="1" s="1"/>
  <c r="BW25" i="1" s="1"/>
  <c r="BW26" i="1" s="1"/>
  <c r="BW27" i="1" s="1"/>
  <c r="BW28" i="1" s="1"/>
  <c r="BW29" i="1" s="1"/>
  <c r="BW30" i="1" s="1"/>
  <c r="BW31" i="1" s="1"/>
  <c r="BW32" i="1" s="1"/>
  <c r="BW33" i="1" s="1"/>
  <c r="BW34" i="1" s="1"/>
  <c r="BW35" i="1" s="1"/>
  <c r="BW36" i="1" s="1"/>
  <c r="BW37" i="1" s="1"/>
  <c r="BW38" i="1" s="1"/>
  <c r="BW39" i="1" s="1"/>
  <c r="BW40" i="1" s="1"/>
  <c r="BW41" i="1" s="1"/>
  <c r="X6" i="1"/>
  <c r="O6" i="1"/>
  <c r="F6" i="1"/>
  <c r="BN6" i="1"/>
  <c r="BN7" i="1" s="1"/>
  <c r="BN8" i="1" s="1"/>
  <c r="BN9" i="1" s="1"/>
  <c r="BN10" i="1" s="1"/>
  <c r="BN11" i="1" s="1"/>
  <c r="BN12" i="1" s="1"/>
  <c r="BN13" i="1" s="1"/>
  <c r="BN14" i="1" s="1"/>
  <c r="BN15" i="1" s="1"/>
  <c r="BN16" i="1" s="1"/>
  <c r="BN17" i="1" s="1"/>
  <c r="BN18" i="1" s="1"/>
  <c r="BN19" i="1" s="1"/>
  <c r="BN20" i="1" s="1"/>
  <c r="BN21" i="1" s="1"/>
  <c r="BN22" i="1" s="1"/>
  <c r="BN23" i="1" s="1"/>
  <c r="BN24" i="1" s="1"/>
  <c r="BN25" i="1" s="1"/>
  <c r="BN26" i="1" s="1"/>
  <c r="BN27" i="1" s="1"/>
  <c r="BN28" i="1" s="1"/>
  <c r="BN29" i="1" s="1"/>
  <c r="BN30" i="1" s="1"/>
  <c r="BN31" i="1" s="1"/>
  <c r="BN32" i="1" s="1"/>
  <c r="BN33" i="1" s="1"/>
  <c r="BN34" i="1" s="1"/>
  <c r="BN35" i="1" s="1"/>
  <c r="BN36" i="1" s="1"/>
  <c r="BN37" i="1" s="1"/>
  <c r="BN38" i="1" s="1"/>
  <c r="BN39" i="1" s="1"/>
  <c r="BN40" i="1" s="1"/>
  <c r="BN41" i="1" s="1"/>
  <c r="BE6" i="1"/>
  <c r="BE7" i="1" s="1"/>
  <c r="BE8" i="1" s="1"/>
  <c r="BE9" i="1" s="1"/>
  <c r="BE10" i="1" s="1"/>
  <c r="BE11" i="1" s="1"/>
  <c r="BE12" i="1" s="1"/>
  <c r="BE13" i="1" s="1"/>
  <c r="BE14" i="1" s="1"/>
  <c r="BE15" i="1" s="1"/>
  <c r="BE16" i="1" s="1"/>
  <c r="BE17" i="1" s="1"/>
  <c r="BE18" i="1" s="1"/>
  <c r="BE19" i="1" s="1"/>
  <c r="BE20" i="1" s="1"/>
  <c r="BE21" i="1" s="1"/>
  <c r="BE22" i="1" s="1"/>
  <c r="BE23" i="1" s="1"/>
  <c r="BE24" i="1" s="1"/>
  <c r="BE25" i="1" s="1"/>
  <c r="BE26" i="1" s="1"/>
  <c r="BE27" i="1" s="1"/>
  <c r="BE28" i="1" s="1"/>
  <c r="BE29" i="1" s="1"/>
  <c r="BE30" i="1" s="1"/>
  <c r="BE31" i="1" s="1"/>
  <c r="BE32" i="1" s="1"/>
  <c r="BE33" i="1" s="1"/>
  <c r="BE34" i="1" s="1"/>
  <c r="BE35" i="1" s="1"/>
  <c r="BE36" i="1" s="1"/>
  <c r="BE37" i="1" s="1"/>
  <c r="BE38" i="1" s="1"/>
  <c r="BE39" i="1" s="1"/>
  <c r="BE40" i="1" s="1"/>
  <c r="BE41" i="1" s="1"/>
  <c r="AV6" i="1"/>
  <c r="AV7" i="1" s="1"/>
  <c r="AV8" i="1" s="1"/>
  <c r="AV9" i="1" s="1"/>
  <c r="AV10" i="1" s="1"/>
  <c r="AV11" i="1" s="1"/>
  <c r="AV12" i="1" s="1"/>
  <c r="AV13" i="1" s="1"/>
  <c r="AV14" i="1" s="1"/>
  <c r="AV15" i="1" s="1"/>
  <c r="AV16" i="1" s="1"/>
  <c r="AV17" i="1" s="1"/>
  <c r="AV18" i="1" s="1"/>
  <c r="AV19" i="1" s="1"/>
  <c r="AV20" i="1" s="1"/>
  <c r="AV21" i="1" s="1"/>
  <c r="AV22" i="1" s="1"/>
  <c r="AV23" i="1" s="1"/>
  <c r="AV24" i="1" s="1"/>
  <c r="AV25" i="1" s="1"/>
  <c r="AV26" i="1" s="1"/>
  <c r="AV27" i="1" s="1"/>
  <c r="AV28" i="1" s="1"/>
  <c r="AV29" i="1" s="1"/>
  <c r="AV30" i="1" s="1"/>
  <c r="AV31" i="1" s="1"/>
  <c r="AV32" i="1" s="1"/>
  <c r="AV33" i="1" s="1"/>
  <c r="AV34" i="1" s="1"/>
  <c r="AV35" i="1" s="1"/>
  <c r="AV36" i="1" s="1"/>
  <c r="AV37" i="1" s="1"/>
  <c r="AV38" i="1" s="1"/>
  <c r="AV39" i="1" s="1"/>
  <c r="AV40" i="1" s="1"/>
  <c r="AV41" i="1" s="1"/>
  <c r="AM7" i="1"/>
  <c r="AM8" i="1" s="1"/>
  <c r="AM9" i="1" s="1"/>
  <c r="AM10" i="1" s="1"/>
  <c r="AM11" i="1" s="1"/>
  <c r="AM12" i="1" s="1"/>
  <c r="AM13" i="1" s="1"/>
  <c r="AM14" i="1" s="1"/>
  <c r="AM15" i="1" s="1"/>
  <c r="AM16" i="1" s="1"/>
  <c r="AM17" i="1" s="1"/>
  <c r="AM18" i="1" s="1"/>
  <c r="AM19" i="1" s="1"/>
  <c r="AM20" i="1" s="1"/>
  <c r="AM21" i="1" s="1"/>
  <c r="AM22" i="1" s="1"/>
  <c r="AM23" i="1" s="1"/>
  <c r="AM24" i="1" s="1"/>
  <c r="AM25" i="1" s="1"/>
  <c r="AM26" i="1" s="1"/>
  <c r="AM27" i="1" s="1"/>
  <c r="AM28" i="1" s="1"/>
  <c r="AM29" i="1" s="1"/>
  <c r="AM30" i="1" s="1"/>
  <c r="AM31" i="1" s="1"/>
  <c r="AM32" i="1" s="1"/>
  <c r="AM33" i="1" s="1"/>
  <c r="AM34" i="1" s="1"/>
  <c r="AM35" i="1" s="1"/>
  <c r="AM36" i="1" s="1"/>
  <c r="AM37" i="1" s="1"/>
  <c r="AM38" i="1" s="1"/>
  <c r="AM39" i="1" s="1"/>
  <c r="AM40" i="1" s="1"/>
  <c r="AM41" i="1" s="1"/>
  <c r="AM6" i="1"/>
  <c r="AD6" i="1"/>
  <c r="AD7" i="1" s="1"/>
  <c r="AD8" i="1" s="1"/>
  <c r="AD9" i="1" s="1"/>
  <c r="AD10" i="1" s="1"/>
  <c r="AD11" i="1" s="1"/>
  <c r="AD12" i="1" s="1"/>
  <c r="AD13" i="1" s="1"/>
  <c r="AD14" i="1" s="1"/>
  <c r="AD15" i="1" s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AD34" i="1" s="1"/>
  <c r="AD35" i="1" s="1"/>
  <c r="AD36" i="1" s="1"/>
  <c r="AD37" i="1" s="1"/>
  <c r="AD38" i="1" s="1"/>
  <c r="AD39" i="1" s="1"/>
  <c r="AD40" i="1" s="1"/>
  <c r="AD41" i="1" s="1"/>
  <c r="U6" i="1"/>
  <c r="U7" i="1" s="1"/>
  <c r="U8" i="1" s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29" i="1" s="1"/>
  <c r="U30" i="1" s="1"/>
  <c r="U31" i="1" s="1"/>
  <c r="U32" i="1" s="1"/>
  <c r="U33" i="1" s="1"/>
  <c r="U34" i="1" s="1"/>
  <c r="U35" i="1" s="1"/>
  <c r="U36" i="1" s="1"/>
  <c r="U37" i="1" s="1"/>
  <c r="U38" i="1" s="1"/>
  <c r="U39" i="1" s="1"/>
  <c r="U40" i="1" s="1"/>
  <c r="U41" i="1" s="1"/>
  <c r="L6" i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C7" i="1"/>
  <c r="C8" i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Filipa Santos</author>
  </authors>
  <commentList>
    <comment ref="B5" authorId="0" shapeId="0" xr:uid="{A6B1E33C-25C7-4C57-A0B7-13FAD9D0759D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D5" authorId="0" shapeId="0" xr:uid="{AA6A09B5-ACBD-4C66-B308-7D4E752E5AC6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F5" authorId="0" shapeId="0" xr:uid="{E3E56BA1-9E6F-41A6-8139-C314168BBF7D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digital scale = 0.01 mV
=&gt; uncertainty = 0.01 mV
But the values oscillate a bit -&gt; around 14,07-10,80= 3,23=&gt; 3,25 mV -&gt; ESCALA DIFERENTE 
a 0º valor varia de 225,8 a 228,5 =&gt; ~2,7 mV de incerteza </t>
        </r>
      </text>
    </comment>
    <comment ref="K5" authorId="0" shapeId="0" xr:uid="{2D3ADD44-32CF-4501-9422-A3C14BFF7274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M5" authorId="0" shapeId="0" xr:uid="{2C203F39-4CDB-48CD-81C7-502490A73EB6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O5" authorId="0" shapeId="0" xr:uid="{3991B47C-39D5-4CFF-96BC-79BDA45DD6BB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digital scale = 0.01 mV
=&gt; uncertainty = 0.01 mV
But the values oscillate a bit -&gt; around 14,07-11,80= 2,23=&gt; 2,25 mV</t>
        </r>
      </text>
    </comment>
    <comment ref="T5" authorId="0" shapeId="0" xr:uid="{995C4943-5668-45AA-8889-754656B6109B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V5" authorId="0" shapeId="0" xr:uid="{04AA6351-E704-4C49-8246-C5C9DBD6843F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X5" authorId="0" shapeId="0" xr:uid="{539BAA65-F858-485F-88F0-59AB0131A8A8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digital scale = 0.01 mV
=&gt; uncertainty = 0.01 mV
But the values oscillate a bit -&gt; around 14,07-11,80= 2,23=&gt; 2,25 mV</t>
        </r>
      </text>
    </comment>
    <comment ref="AC5" authorId="0" shapeId="0" xr:uid="{B65181D3-2B89-4BA2-8F35-74B5F5C3211B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AE5" authorId="0" shapeId="0" xr:uid="{AD6B759B-F5C0-44D2-BD0A-C71C58304211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AG5" authorId="0" shapeId="0" xr:uid="{532D69C5-6E82-47FC-BDB1-5C7BC8D2B8D1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digital scale = 0.01 mV
=&gt; uncertainty = 0.01 mV
But the values oscillate a bit -&gt; around 14,07-11,80= 2,23=&gt; 2,25 mV</t>
        </r>
      </text>
    </comment>
    <comment ref="AL5" authorId="0" shapeId="0" xr:uid="{DC5B53C5-B686-445A-B9EC-C40EBA8C10B2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AN5" authorId="0" shapeId="0" xr:uid="{93D283BD-337D-4204-B536-E3CFBEA4AF7F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AP5" authorId="0" shapeId="0" xr:uid="{66C631AA-3D9E-46C0-BB81-E7C1B060E92A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digital scale = 0.01 mV
=&gt; uncertainty = 0.01 mV
But the values oscillate a bit -&gt; around 14,07-11,80= 2,23=&gt; 2,25 mV</t>
        </r>
      </text>
    </comment>
    <comment ref="AU5" authorId="0" shapeId="0" xr:uid="{16A2F16C-B083-4B12-87D9-AD5ECAB06EF2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AW5" authorId="0" shapeId="0" xr:uid="{B2905C08-4BCE-4258-8E6B-C5BA57C189E6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AY5" authorId="0" shapeId="0" xr:uid="{55E6CC33-2F79-4546-9808-0F8688B62BFB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digital scale = 0.01 mV
=&gt; uncertainty = 0.01 mV
But the values oscillate a bit -&gt; around 14,07-11,80= 2,23=&gt; 2,25 mV</t>
        </r>
      </text>
    </comment>
    <comment ref="BD5" authorId="0" shapeId="0" xr:uid="{F9675C70-92B0-41FE-8D7C-2A5300B1E0C3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BF5" authorId="0" shapeId="0" xr:uid="{2E00789D-7036-4D94-84D9-F55686ECD63A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BH5" authorId="0" shapeId="0" xr:uid="{188A9773-ED9C-4884-B2B3-00ECAC9CBDF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digital scale = 0.01 mV
=&gt; uncertainty = 0.01 mV
But the values oscillate a bit -&gt; around 14,07-11,80= 2,23=&gt; 2,25 mV</t>
        </r>
      </text>
    </comment>
    <comment ref="BM5" authorId="0" shapeId="0" xr:uid="{9347FF7C-3D95-4EB4-9917-BFDD6D098D8E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BO5" authorId="0" shapeId="0" xr:uid="{61859E5A-C5E2-4853-BF6B-E3AE3D7E5F7F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BQ5" authorId="0" shapeId="0" xr:uid="{35E1788F-55C2-46B1-BD40-A03BE5DFB313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digital scale = 0.01 mV
=&gt; uncertainty = 0.01 mV
But the values oscillate a bit -&gt; around 14,07-11,80= 2,23=&gt; 2,25 mV</t>
        </r>
      </text>
    </comment>
    <comment ref="BV5" authorId="0" shapeId="0" xr:uid="{D50F08CB-26FD-4D0E-A8B3-AD31766DEDFD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BX5" authorId="0" shapeId="0" xr:uid="{87120F1E-CAF3-4DEE-A6E5-1254DF09B218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BZ5" authorId="0" shapeId="0" xr:uid="{6A4ECA22-E93A-4827-BEF8-74405F0B8041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digital scale = 0.01 mV
=&gt; uncertainty = 0.01 mV
But the values oscillate a bit -&gt; around 14,07-11,80= 2,23=&gt; 2,25 mV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Filipa Santos</author>
  </authors>
  <commentList>
    <comment ref="B5" authorId="0" shapeId="0" xr:uid="{D29112B5-FB39-4428-B8F9-B9E8C54F490C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D5" authorId="0" shapeId="0" xr:uid="{367956D9-1223-4AA1-8735-52EACDADED1F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F5" authorId="0" shapeId="0" xr:uid="{55664A4D-457E-49CD-B0D2-BF8C05A4BBF8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digital scale = 0.01 mV
=&gt; uncertainty = 0.01 mV
But the values oscillate a bit -&gt; around 14,07-10,80= 3,23=&gt; 3,25 mV -&gt; ESCALA DIFERENTE 
a 0º valor varia de 225,8 a 228,5 =&gt; ~2,7 mV de incerteza </t>
        </r>
      </text>
    </comment>
    <comment ref="H5" authorId="0" shapeId="0" xr:uid="{BC8AAD74-DE01-497A-A639-7D70BA8C61DC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J5" authorId="0" shapeId="0" xr:uid="{28F4CD08-A00D-4E8D-9373-23622177B9EF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L5" authorId="0" shapeId="0" xr:uid="{6FC9440A-D1F2-4CE6-BF82-7D79E8E6483C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digital scale = 0.01 mV
=&gt; uncertainty = 0.01 mV
But the values oscillate a bit -&gt; around 14,07-11,80= 2,23=&gt; 2,25 mV</t>
        </r>
      </text>
    </comment>
    <comment ref="N5" authorId="0" shapeId="0" xr:uid="{D7E42B3C-F53B-4B02-82E9-47C5A26A1E4E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P5" authorId="0" shapeId="0" xr:uid="{5197BFF0-B05C-4EEE-A644-B80D5786F37F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R5" authorId="0" shapeId="0" xr:uid="{4795B920-717A-40C2-B49F-311EA468D17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digital scale = 0.01 mV
=&gt; uncertainty = 0.01 mV
But the values oscillate a bit -&gt; around 14,07-11,80= 2,23=&gt; 2,25 mV</t>
        </r>
      </text>
    </comment>
    <comment ref="T5" authorId="0" shapeId="0" xr:uid="{FF54CED2-DF43-441F-B1B3-DDDED9CD1399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V5" authorId="0" shapeId="0" xr:uid="{4095A8F4-7A38-4DA5-945E-A629F172CB81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X5" authorId="0" shapeId="0" xr:uid="{BE55CAB3-9845-472C-99C9-A9E9AD7C2EE2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digital scale = 0.01 mV
=&gt; uncertainty = 0.01 mV
But the values oscillate a bit -&gt; around 14,07-11,80= 2,23=&gt; 2,25 mV</t>
        </r>
      </text>
    </comment>
    <comment ref="Z5" authorId="0" shapeId="0" xr:uid="{294C7685-F2D5-450A-A5DC-6CFA6682F172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AB5" authorId="0" shapeId="0" xr:uid="{3B79A857-3EC6-48A0-B709-3C54E094D67C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AD5" authorId="0" shapeId="0" xr:uid="{1E58416D-1BA0-4784-9AE7-815E20F0786F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digital scale = 0.01 mV
=&gt; uncertainty = 0.01 mV
But the values oscillate a bit -&gt; around 14,07-11,80= 2,23=&gt; 2,25 mV</t>
        </r>
      </text>
    </comment>
    <comment ref="AF5" authorId="0" shapeId="0" xr:uid="{D2BFFB5F-B475-432B-9176-74E65881A5FC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AH5" authorId="0" shapeId="0" xr:uid="{69940F98-A51D-4577-8C9B-198A70180DAE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AJ5" authorId="0" shapeId="0" xr:uid="{E2099831-B8D8-4578-9573-ACCC8CD7CBAB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digital scale = 0.01 mV
=&gt; uncertainty = 0.01 mV
But the values oscillate a bit -&gt; around 14,07-11,80= 2,23=&gt; 2,25 mV</t>
        </r>
      </text>
    </comment>
    <comment ref="AL5" authorId="0" shapeId="0" xr:uid="{32731506-1C2A-4372-A1B3-62AD4380553E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AN5" authorId="0" shapeId="0" xr:uid="{343AD44C-A614-45E3-8EEE-B7F003597A5B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AP5" authorId="0" shapeId="0" xr:uid="{86428AD4-A3F7-4051-9352-10872A66C802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digital scale = 0.01 mV
=&gt; uncertainty = 0.01 mV
But the values oscillate a bit -&gt; around 14,07-11,80= 2,23=&gt; 2,25 mV</t>
        </r>
      </text>
    </comment>
    <comment ref="AR5" authorId="0" shapeId="0" xr:uid="{4AAB444F-AF34-4221-B8B0-F532D6F1E0C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AT5" authorId="0" shapeId="0" xr:uid="{699F4F0E-5D03-4383-9D4B-2B352FBBA7F7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AV5" authorId="0" shapeId="0" xr:uid="{BC058C2D-C461-40B0-B7EC-5FA575DA6AEF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digital scale = 0.01 mV
=&gt; uncertainty = 0.01 mV
But the values oscillate a bit -&gt; around 14,07-11,80= 2,23=&gt; 2,25 mV</t>
        </r>
      </text>
    </comment>
    <comment ref="AX5" authorId="0" shapeId="0" xr:uid="{D265A11B-A2F6-4334-8756-0FBA56992CD4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AZ5" authorId="0" shapeId="0" xr:uid="{D0E1E7EC-A346-487F-8D18-14A3E3CD4E11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BB5" authorId="0" shapeId="0" xr:uid="{2E663827-A1FB-4C87-9308-F0CB432684DE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digital scale = 0.01 mV
=&gt; uncertainty = 0.01 mV
But the values oscillate a bit -&gt; around 14,07-11,80= 2,23=&gt; 2,25 mV</t>
        </r>
      </text>
    </comment>
  </commentList>
</comments>
</file>

<file path=xl/sharedStrings.xml><?xml version="1.0" encoding="utf-8"?>
<sst xmlns="http://schemas.openxmlformats.org/spreadsheetml/2006/main" count="164" uniqueCount="28">
  <si>
    <t>Peanuts experiment recreation</t>
  </si>
  <si>
    <t>θ (º)</t>
  </si>
  <si>
    <t>δθ (º)</t>
  </si>
  <si>
    <t>I (mV)</t>
  </si>
  <si>
    <t>δI (mV)</t>
  </si>
  <si>
    <t>α (º)</t>
  </si>
  <si>
    <t>δα (º)</t>
  </si>
  <si>
    <t>90+10</t>
  </si>
  <si>
    <t>90+20</t>
  </si>
  <si>
    <t>90+30</t>
  </si>
  <si>
    <t>90+40</t>
  </si>
  <si>
    <t>90+50</t>
  </si>
  <si>
    <t>90+60</t>
  </si>
  <si>
    <t>90+70</t>
  </si>
  <si>
    <t>90+80</t>
  </si>
  <si>
    <t>90+90</t>
  </si>
  <si>
    <t>180+10</t>
  </si>
  <si>
    <t>180+20</t>
  </si>
  <si>
    <t>180+30</t>
  </si>
  <si>
    <t>180+40</t>
  </si>
  <si>
    <t>180+50</t>
  </si>
  <si>
    <t>180+60</t>
  </si>
  <si>
    <t>180+70</t>
  </si>
  <si>
    <t>180+80</t>
  </si>
  <si>
    <t xml:space="preserve">mudança de escala </t>
  </si>
  <si>
    <t xml:space="preserve"> u~0,5*(92,12-89,32)=2,80/2 = 1,4</t>
  </si>
  <si>
    <t>I*cos(α)</t>
  </si>
  <si>
    <t>I*sin(α)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</si>
</sst>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sz val="10"/>
      <color rgb="FF040C2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2" borderId="0" xfId="0" applyFill="1"/>
    <xf numFmtId="0" fontId="1" fillId="2" borderId="1" xfId="0" applyFont="1" applyFill="1" applyBorder="1"/>
    <xf numFmtId="0" fontId="0" fillId="3" borderId="0" xfId="0" applyFill="1"/>
    <xf numFmtId="164" fontId="0" fillId="0" borderId="0" xfId="0" applyNumberFormat="1"/>
    <xf numFmtId="2" fontId="0" fillId="2" borderId="0" xfId="0" applyNumberFormat="1" applyFill="1"/>
    <xf numFmtId="0" fontId="1" fillId="2" borderId="3" xfId="0" applyFont="1" applyFill="1" applyBorder="1"/>
    <xf numFmtId="164" fontId="0" fillId="0" borderId="2" xfId="0" applyNumberFormat="1" applyBorder="1"/>
    <xf numFmtId="2" fontId="0" fillId="0" borderId="2" xfId="0" applyNumberFormat="1" applyBorder="1"/>
    <xf numFmtId="0" fontId="1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Sheet1!$E$4</c:f>
              <c:strCache>
                <c:ptCount val="1"/>
                <c:pt idx="0">
                  <c:v>I (mV)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Sheet1!$C$5:$C$41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Sheet1!$E$5:$E$41</c:f>
              <c:numCache>
                <c:formatCode>General</c:formatCode>
                <c:ptCount val="37"/>
                <c:pt idx="0">
                  <c:v>225.4</c:v>
                </c:pt>
                <c:pt idx="1">
                  <c:v>227.6</c:v>
                </c:pt>
                <c:pt idx="2">
                  <c:v>231.3</c:v>
                </c:pt>
                <c:pt idx="3">
                  <c:v>204.2</c:v>
                </c:pt>
                <c:pt idx="4">
                  <c:v>192.7</c:v>
                </c:pt>
                <c:pt idx="5">
                  <c:v>178.6</c:v>
                </c:pt>
                <c:pt idx="6">
                  <c:v>153.69999999999999</c:v>
                </c:pt>
                <c:pt idx="7">
                  <c:v>138.5</c:v>
                </c:pt>
                <c:pt idx="8">
                  <c:v>131.19999999999999</c:v>
                </c:pt>
                <c:pt idx="9">
                  <c:v>122.8</c:v>
                </c:pt>
                <c:pt idx="10">
                  <c:v>117</c:v>
                </c:pt>
                <c:pt idx="11">
                  <c:v>124.5</c:v>
                </c:pt>
                <c:pt idx="12">
                  <c:v>139.19999999999999</c:v>
                </c:pt>
                <c:pt idx="13">
                  <c:v>156.69999999999999</c:v>
                </c:pt>
                <c:pt idx="14">
                  <c:v>172.8</c:v>
                </c:pt>
                <c:pt idx="15">
                  <c:v>200.8</c:v>
                </c:pt>
                <c:pt idx="16">
                  <c:v>206.7</c:v>
                </c:pt>
                <c:pt idx="17">
                  <c:v>217.2</c:v>
                </c:pt>
                <c:pt idx="18">
                  <c:v>221.6</c:v>
                </c:pt>
                <c:pt idx="19">
                  <c:v>222.3</c:v>
                </c:pt>
                <c:pt idx="20">
                  <c:v>218.4</c:v>
                </c:pt>
                <c:pt idx="21">
                  <c:v>204.3</c:v>
                </c:pt>
                <c:pt idx="22">
                  <c:v>193.8</c:v>
                </c:pt>
                <c:pt idx="23">
                  <c:v>168.9</c:v>
                </c:pt>
                <c:pt idx="24">
                  <c:v>149.4</c:v>
                </c:pt>
                <c:pt idx="25">
                  <c:v>136.19999999999999</c:v>
                </c:pt>
                <c:pt idx="26">
                  <c:v>129.1</c:v>
                </c:pt>
                <c:pt idx="27">
                  <c:v>115.3</c:v>
                </c:pt>
                <c:pt idx="28">
                  <c:v>113.2</c:v>
                </c:pt>
                <c:pt idx="29">
                  <c:v>119.4</c:v>
                </c:pt>
                <c:pt idx="30">
                  <c:v>133.69999999999999</c:v>
                </c:pt>
                <c:pt idx="31">
                  <c:v>144.69999999999999</c:v>
                </c:pt>
                <c:pt idx="32">
                  <c:v>167.6</c:v>
                </c:pt>
                <c:pt idx="33">
                  <c:v>189.4</c:v>
                </c:pt>
                <c:pt idx="34">
                  <c:v>206.1</c:v>
                </c:pt>
                <c:pt idx="35">
                  <c:v>219.3</c:v>
                </c:pt>
                <c:pt idx="36">
                  <c:v>226.1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68-4D47-84A7-0DEDDD33D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857712"/>
        <c:axId val="322857232"/>
      </c:scatterChart>
      <c:valAx>
        <c:axId val="322857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22857232"/>
        <c:crosses val="autoZero"/>
        <c:crossBetween val="midCat"/>
      </c:valAx>
      <c:valAx>
        <c:axId val="32285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22857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Sheet1!$N$4</c:f>
              <c:strCache>
                <c:ptCount val="1"/>
                <c:pt idx="0">
                  <c:v>I (mV)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Sheet1!$L$5:$L$41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Sheet1!$N$5:$N$41</c:f>
              <c:numCache>
                <c:formatCode>General</c:formatCode>
                <c:ptCount val="37"/>
                <c:pt idx="0">
                  <c:v>170.8</c:v>
                </c:pt>
                <c:pt idx="1">
                  <c:v>141.19999999999999</c:v>
                </c:pt>
                <c:pt idx="2">
                  <c:v>117.4</c:v>
                </c:pt>
                <c:pt idx="3">
                  <c:v>99.15</c:v>
                </c:pt>
                <c:pt idx="4">
                  <c:v>88.13</c:v>
                </c:pt>
                <c:pt idx="5">
                  <c:v>91.82</c:v>
                </c:pt>
                <c:pt idx="6">
                  <c:v>99.02</c:v>
                </c:pt>
                <c:pt idx="7">
                  <c:v>115.2</c:v>
                </c:pt>
                <c:pt idx="8">
                  <c:v>138.19999999999999</c:v>
                </c:pt>
                <c:pt idx="9">
                  <c:v>168.3</c:v>
                </c:pt>
                <c:pt idx="10">
                  <c:v>198.7</c:v>
                </c:pt>
                <c:pt idx="11">
                  <c:v>223.6</c:v>
                </c:pt>
                <c:pt idx="12">
                  <c:v>244.4</c:v>
                </c:pt>
                <c:pt idx="13">
                  <c:v>257.8</c:v>
                </c:pt>
                <c:pt idx="14">
                  <c:v>259.8</c:v>
                </c:pt>
                <c:pt idx="15">
                  <c:v>250</c:v>
                </c:pt>
                <c:pt idx="16">
                  <c:v>233.3</c:v>
                </c:pt>
                <c:pt idx="17">
                  <c:v>205.3</c:v>
                </c:pt>
                <c:pt idx="18">
                  <c:v>178.2</c:v>
                </c:pt>
                <c:pt idx="19">
                  <c:v>148.30000000000001</c:v>
                </c:pt>
                <c:pt idx="20">
                  <c:v>127.1</c:v>
                </c:pt>
                <c:pt idx="21">
                  <c:v>105.6</c:v>
                </c:pt>
                <c:pt idx="22">
                  <c:v>92.56</c:v>
                </c:pt>
                <c:pt idx="23">
                  <c:v>88.09</c:v>
                </c:pt>
                <c:pt idx="24">
                  <c:v>96.9</c:v>
                </c:pt>
                <c:pt idx="25">
                  <c:v>115.4</c:v>
                </c:pt>
                <c:pt idx="26">
                  <c:v>137.19999999999999</c:v>
                </c:pt>
                <c:pt idx="27">
                  <c:v>161.4</c:v>
                </c:pt>
                <c:pt idx="28">
                  <c:v>190.3</c:v>
                </c:pt>
                <c:pt idx="29">
                  <c:v>209.5</c:v>
                </c:pt>
                <c:pt idx="30">
                  <c:v>230.1</c:v>
                </c:pt>
                <c:pt idx="31">
                  <c:v>242.5</c:v>
                </c:pt>
                <c:pt idx="32">
                  <c:v>247.3</c:v>
                </c:pt>
                <c:pt idx="33">
                  <c:v>241.2</c:v>
                </c:pt>
                <c:pt idx="34">
                  <c:v>226.5</c:v>
                </c:pt>
                <c:pt idx="35">
                  <c:v>203.8</c:v>
                </c:pt>
                <c:pt idx="36">
                  <c:v>180.2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07-41DD-9AEC-48F870F0B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872592"/>
        <c:axId val="322868752"/>
      </c:scatterChart>
      <c:valAx>
        <c:axId val="322872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22868752"/>
        <c:crosses val="autoZero"/>
        <c:crossBetween val="midCat"/>
      </c:valAx>
      <c:valAx>
        <c:axId val="32286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22872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Sheet1!$W$4</c:f>
              <c:strCache>
                <c:ptCount val="1"/>
                <c:pt idx="0">
                  <c:v>I (mV)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Sheet1!$U$5:$U$41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Sheet1!$W$5:$W$41</c:f>
              <c:numCache>
                <c:formatCode>General</c:formatCode>
                <c:ptCount val="37"/>
                <c:pt idx="0">
                  <c:v>240.5</c:v>
                </c:pt>
                <c:pt idx="1">
                  <c:v>197.8</c:v>
                </c:pt>
                <c:pt idx="2">
                  <c:v>151.6</c:v>
                </c:pt>
                <c:pt idx="3">
                  <c:v>106.8</c:v>
                </c:pt>
                <c:pt idx="4">
                  <c:v>66.75</c:v>
                </c:pt>
                <c:pt idx="5">
                  <c:v>42.57</c:v>
                </c:pt>
                <c:pt idx="6">
                  <c:v>34.200000000000003</c:v>
                </c:pt>
                <c:pt idx="7">
                  <c:v>41.47</c:v>
                </c:pt>
                <c:pt idx="8">
                  <c:v>63.6</c:v>
                </c:pt>
                <c:pt idx="9">
                  <c:v>104.9</c:v>
                </c:pt>
                <c:pt idx="10">
                  <c:v>150.9</c:v>
                </c:pt>
                <c:pt idx="11">
                  <c:v>199.7</c:v>
                </c:pt>
                <c:pt idx="12">
                  <c:v>243.3</c:v>
                </c:pt>
                <c:pt idx="13">
                  <c:v>279.60000000000002</c:v>
                </c:pt>
                <c:pt idx="14">
                  <c:v>298.7</c:v>
                </c:pt>
                <c:pt idx="15">
                  <c:v>309.10000000000002</c:v>
                </c:pt>
                <c:pt idx="16">
                  <c:v>297.60000000000002</c:v>
                </c:pt>
                <c:pt idx="17">
                  <c:v>275.5</c:v>
                </c:pt>
                <c:pt idx="18">
                  <c:v>233.2</c:v>
                </c:pt>
                <c:pt idx="19">
                  <c:v>190.9</c:v>
                </c:pt>
                <c:pt idx="20">
                  <c:v>141.69999999999999</c:v>
                </c:pt>
                <c:pt idx="21">
                  <c:v>100.5</c:v>
                </c:pt>
                <c:pt idx="22">
                  <c:v>62.04</c:v>
                </c:pt>
                <c:pt idx="23">
                  <c:v>39.79</c:v>
                </c:pt>
                <c:pt idx="24">
                  <c:v>32.880000000000003</c:v>
                </c:pt>
                <c:pt idx="25">
                  <c:v>42.14</c:v>
                </c:pt>
                <c:pt idx="26">
                  <c:v>63.33</c:v>
                </c:pt>
                <c:pt idx="27">
                  <c:v>104.2</c:v>
                </c:pt>
                <c:pt idx="28">
                  <c:v>146.5</c:v>
                </c:pt>
                <c:pt idx="29">
                  <c:v>190.7</c:v>
                </c:pt>
                <c:pt idx="30">
                  <c:v>231.5</c:v>
                </c:pt>
                <c:pt idx="31">
                  <c:v>268.7</c:v>
                </c:pt>
                <c:pt idx="32">
                  <c:v>289.2</c:v>
                </c:pt>
                <c:pt idx="33">
                  <c:v>300</c:v>
                </c:pt>
                <c:pt idx="34">
                  <c:v>292.3</c:v>
                </c:pt>
                <c:pt idx="35">
                  <c:v>273</c:v>
                </c:pt>
                <c:pt idx="36">
                  <c:v>236.3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86-4FFA-AB8D-37C2EFC92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857712"/>
        <c:axId val="322871152"/>
      </c:scatterChart>
      <c:valAx>
        <c:axId val="322857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22871152"/>
        <c:crosses val="autoZero"/>
        <c:crossBetween val="midCat"/>
      </c:valAx>
      <c:valAx>
        <c:axId val="32287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22857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Sheet1!$AF$4</c:f>
              <c:strCache>
                <c:ptCount val="1"/>
                <c:pt idx="0">
                  <c:v>I (mV)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Sheet1!$AD$5:$AD$41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Sheet1!$AF$5:$AF$41</c:f>
              <c:numCache>
                <c:formatCode>General</c:formatCode>
                <c:ptCount val="37"/>
                <c:pt idx="0">
                  <c:v>301.10000000000002</c:v>
                </c:pt>
                <c:pt idx="1">
                  <c:v>270</c:v>
                </c:pt>
                <c:pt idx="2">
                  <c:v>221.4</c:v>
                </c:pt>
                <c:pt idx="3">
                  <c:v>169.8</c:v>
                </c:pt>
                <c:pt idx="4">
                  <c:v>115.5</c:v>
                </c:pt>
                <c:pt idx="5">
                  <c:v>62.76</c:v>
                </c:pt>
                <c:pt idx="6">
                  <c:v>28.33</c:v>
                </c:pt>
                <c:pt idx="7">
                  <c:v>13.23</c:v>
                </c:pt>
                <c:pt idx="8">
                  <c:v>16.3</c:v>
                </c:pt>
                <c:pt idx="9">
                  <c:v>42.11</c:v>
                </c:pt>
                <c:pt idx="10">
                  <c:v>80.03</c:v>
                </c:pt>
                <c:pt idx="11">
                  <c:v>134.4</c:v>
                </c:pt>
                <c:pt idx="12">
                  <c:v>188.2</c:v>
                </c:pt>
                <c:pt idx="13">
                  <c:v>237.7</c:v>
                </c:pt>
                <c:pt idx="14">
                  <c:v>281.60000000000002</c:v>
                </c:pt>
                <c:pt idx="15">
                  <c:v>315.3</c:v>
                </c:pt>
                <c:pt idx="16">
                  <c:v>325.60000000000002</c:v>
                </c:pt>
                <c:pt idx="17">
                  <c:v>313.39999999999998</c:v>
                </c:pt>
                <c:pt idx="18">
                  <c:v>279.89999999999998</c:v>
                </c:pt>
                <c:pt idx="19">
                  <c:v>245</c:v>
                </c:pt>
                <c:pt idx="20">
                  <c:v>200.5</c:v>
                </c:pt>
                <c:pt idx="21">
                  <c:v>148.30000000000001</c:v>
                </c:pt>
                <c:pt idx="22">
                  <c:v>98.7</c:v>
                </c:pt>
                <c:pt idx="23">
                  <c:v>55.23</c:v>
                </c:pt>
                <c:pt idx="24">
                  <c:v>24.34</c:v>
                </c:pt>
                <c:pt idx="25">
                  <c:v>11.77</c:v>
                </c:pt>
                <c:pt idx="26">
                  <c:v>16.510000000000002</c:v>
                </c:pt>
                <c:pt idx="27">
                  <c:v>41.21</c:v>
                </c:pt>
                <c:pt idx="28">
                  <c:v>75.599999999999994</c:v>
                </c:pt>
                <c:pt idx="29">
                  <c:v>124.6</c:v>
                </c:pt>
                <c:pt idx="30">
                  <c:v>169.6</c:v>
                </c:pt>
                <c:pt idx="31">
                  <c:v>220.1</c:v>
                </c:pt>
                <c:pt idx="32">
                  <c:v>271</c:v>
                </c:pt>
                <c:pt idx="33">
                  <c:v>291.39999999999998</c:v>
                </c:pt>
                <c:pt idx="34">
                  <c:v>313.89999999999998</c:v>
                </c:pt>
                <c:pt idx="35">
                  <c:v>310.5</c:v>
                </c:pt>
                <c:pt idx="36">
                  <c:v>288.7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26-4CC5-82B4-A623DA3F4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885552"/>
        <c:axId val="322880752"/>
      </c:scatterChart>
      <c:valAx>
        <c:axId val="32288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22880752"/>
        <c:crosses val="autoZero"/>
        <c:crossBetween val="midCat"/>
      </c:valAx>
      <c:valAx>
        <c:axId val="32288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22885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Sheet1!$AO$4</c:f>
              <c:strCache>
                <c:ptCount val="1"/>
                <c:pt idx="0">
                  <c:v>I (mV)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Sheet1!$AM$5:$AM$41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Sheet1!$AO$5:$AO$41</c:f>
              <c:numCache>
                <c:formatCode>General</c:formatCode>
                <c:ptCount val="37"/>
                <c:pt idx="0">
                  <c:v>220.9</c:v>
                </c:pt>
                <c:pt idx="1">
                  <c:v>242.6</c:v>
                </c:pt>
                <c:pt idx="2">
                  <c:v>243.3</c:v>
                </c:pt>
                <c:pt idx="3">
                  <c:v>229.5</c:v>
                </c:pt>
                <c:pt idx="4">
                  <c:v>210</c:v>
                </c:pt>
                <c:pt idx="5">
                  <c:v>183</c:v>
                </c:pt>
                <c:pt idx="6">
                  <c:v>156.4</c:v>
                </c:pt>
                <c:pt idx="7">
                  <c:v>134.30000000000001</c:v>
                </c:pt>
                <c:pt idx="8">
                  <c:v>113.3</c:v>
                </c:pt>
                <c:pt idx="9">
                  <c:v>99.27</c:v>
                </c:pt>
                <c:pt idx="10">
                  <c:v>94.88</c:v>
                </c:pt>
                <c:pt idx="11">
                  <c:v>101.8</c:v>
                </c:pt>
                <c:pt idx="12">
                  <c:v>115.9</c:v>
                </c:pt>
                <c:pt idx="13">
                  <c:v>134.4</c:v>
                </c:pt>
                <c:pt idx="14">
                  <c:v>157.69999999999999</c:v>
                </c:pt>
                <c:pt idx="15">
                  <c:v>183.9</c:v>
                </c:pt>
                <c:pt idx="16">
                  <c:v>204.3</c:v>
                </c:pt>
                <c:pt idx="17">
                  <c:v>209.8</c:v>
                </c:pt>
                <c:pt idx="18">
                  <c:v>222.7</c:v>
                </c:pt>
                <c:pt idx="19">
                  <c:v>227.5</c:v>
                </c:pt>
                <c:pt idx="20">
                  <c:v>223.1</c:v>
                </c:pt>
                <c:pt idx="21">
                  <c:v>210.6</c:v>
                </c:pt>
                <c:pt idx="22">
                  <c:v>195</c:v>
                </c:pt>
                <c:pt idx="23">
                  <c:v>171.7</c:v>
                </c:pt>
                <c:pt idx="24">
                  <c:v>146.1</c:v>
                </c:pt>
                <c:pt idx="25">
                  <c:v>125</c:v>
                </c:pt>
                <c:pt idx="26">
                  <c:v>106.5</c:v>
                </c:pt>
                <c:pt idx="27">
                  <c:v>92.76</c:v>
                </c:pt>
                <c:pt idx="28">
                  <c:v>88.57</c:v>
                </c:pt>
                <c:pt idx="29">
                  <c:v>92.3</c:v>
                </c:pt>
                <c:pt idx="30">
                  <c:v>104.3</c:v>
                </c:pt>
                <c:pt idx="31">
                  <c:v>123.5</c:v>
                </c:pt>
                <c:pt idx="32">
                  <c:v>143.30000000000001</c:v>
                </c:pt>
                <c:pt idx="33">
                  <c:v>168.6</c:v>
                </c:pt>
                <c:pt idx="34">
                  <c:v>193.7</c:v>
                </c:pt>
                <c:pt idx="35">
                  <c:v>208</c:v>
                </c:pt>
                <c:pt idx="36">
                  <c:v>222.7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07-4DA4-89B6-DC291D1F8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606192"/>
        <c:axId val="716606672"/>
      </c:scatterChart>
      <c:valAx>
        <c:axId val="71660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16606672"/>
        <c:crosses val="autoZero"/>
        <c:crossBetween val="midCat"/>
      </c:valAx>
      <c:valAx>
        <c:axId val="71660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16606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Sheet1!$AX$4</c:f>
              <c:strCache>
                <c:ptCount val="1"/>
                <c:pt idx="0">
                  <c:v>I (mV)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Sheet1!$AV$5:$AV$41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Sheet1!$AX$5:$AX$41</c:f>
              <c:numCache>
                <c:formatCode>General</c:formatCode>
                <c:ptCount val="37"/>
                <c:pt idx="0">
                  <c:v>279.7</c:v>
                </c:pt>
                <c:pt idx="1">
                  <c:v>244.2</c:v>
                </c:pt>
                <c:pt idx="2">
                  <c:v>198.2</c:v>
                </c:pt>
                <c:pt idx="3">
                  <c:v>143.4</c:v>
                </c:pt>
                <c:pt idx="4">
                  <c:v>96.51</c:v>
                </c:pt>
                <c:pt idx="5">
                  <c:v>54.88</c:v>
                </c:pt>
                <c:pt idx="6">
                  <c:v>23.02</c:v>
                </c:pt>
                <c:pt idx="7">
                  <c:v>12.37</c:v>
                </c:pt>
                <c:pt idx="8">
                  <c:v>21.15</c:v>
                </c:pt>
                <c:pt idx="9">
                  <c:v>51.54</c:v>
                </c:pt>
                <c:pt idx="10">
                  <c:v>88.59</c:v>
                </c:pt>
                <c:pt idx="11">
                  <c:v>138</c:v>
                </c:pt>
                <c:pt idx="12">
                  <c:v>189.9</c:v>
                </c:pt>
                <c:pt idx="13">
                  <c:v>235.7</c:v>
                </c:pt>
                <c:pt idx="14">
                  <c:v>278.5</c:v>
                </c:pt>
                <c:pt idx="15">
                  <c:v>302.10000000000002</c:v>
                </c:pt>
                <c:pt idx="16">
                  <c:v>310.89999999999998</c:v>
                </c:pt>
                <c:pt idx="17">
                  <c:v>299.89999999999998</c:v>
                </c:pt>
                <c:pt idx="18">
                  <c:v>277.60000000000002</c:v>
                </c:pt>
                <c:pt idx="19">
                  <c:v>237.2</c:v>
                </c:pt>
                <c:pt idx="20">
                  <c:v>187.3</c:v>
                </c:pt>
                <c:pt idx="21">
                  <c:v>139.1</c:v>
                </c:pt>
                <c:pt idx="22">
                  <c:v>87.26</c:v>
                </c:pt>
                <c:pt idx="23">
                  <c:v>48.73</c:v>
                </c:pt>
                <c:pt idx="24">
                  <c:v>20.21</c:v>
                </c:pt>
                <c:pt idx="25">
                  <c:v>12.43</c:v>
                </c:pt>
                <c:pt idx="26">
                  <c:v>19.579999999999998</c:v>
                </c:pt>
                <c:pt idx="27">
                  <c:v>45.36</c:v>
                </c:pt>
                <c:pt idx="28">
                  <c:v>84.45</c:v>
                </c:pt>
                <c:pt idx="29">
                  <c:v>132.9</c:v>
                </c:pt>
                <c:pt idx="30">
                  <c:v>178.9</c:v>
                </c:pt>
                <c:pt idx="31">
                  <c:v>224.2</c:v>
                </c:pt>
                <c:pt idx="32">
                  <c:v>269.89999999999998</c:v>
                </c:pt>
                <c:pt idx="33">
                  <c:v>290.8</c:v>
                </c:pt>
                <c:pt idx="34">
                  <c:v>303.7</c:v>
                </c:pt>
                <c:pt idx="35">
                  <c:v>297.3</c:v>
                </c:pt>
                <c:pt idx="36">
                  <c:v>276.2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7F-4205-B655-DA1C3A61A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569712"/>
        <c:axId val="716565392"/>
      </c:scatterChart>
      <c:valAx>
        <c:axId val="71656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16565392"/>
        <c:crosses val="autoZero"/>
        <c:crossBetween val="midCat"/>
      </c:valAx>
      <c:valAx>
        <c:axId val="71656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16569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Sheet1!$BG$4</c:f>
              <c:strCache>
                <c:ptCount val="1"/>
                <c:pt idx="0">
                  <c:v>I (mV)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Sheet1!$BE$5:$BE$41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Sheet1!$BG$5:$BG$41</c:f>
              <c:numCache>
                <c:formatCode>General</c:formatCode>
                <c:ptCount val="37"/>
                <c:pt idx="0">
                  <c:v>189.9</c:v>
                </c:pt>
                <c:pt idx="1">
                  <c:v>148.30000000000001</c:v>
                </c:pt>
                <c:pt idx="2">
                  <c:v>115.5</c:v>
                </c:pt>
                <c:pt idx="3">
                  <c:v>80.45</c:v>
                </c:pt>
                <c:pt idx="4">
                  <c:v>58.52</c:v>
                </c:pt>
                <c:pt idx="5">
                  <c:v>49.73</c:v>
                </c:pt>
                <c:pt idx="6">
                  <c:v>54.61</c:v>
                </c:pt>
                <c:pt idx="7">
                  <c:v>69.569999999999993</c:v>
                </c:pt>
                <c:pt idx="8">
                  <c:v>103.3</c:v>
                </c:pt>
                <c:pt idx="9">
                  <c:v>141.30000000000001</c:v>
                </c:pt>
                <c:pt idx="10">
                  <c:v>184.4</c:v>
                </c:pt>
                <c:pt idx="11">
                  <c:v>221.4</c:v>
                </c:pt>
                <c:pt idx="12">
                  <c:v>254.7</c:v>
                </c:pt>
                <c:pt idx="13">
                  <c:v>277.8</c:v>
                </c:pt>
                <c:pt idx="14">
                  <c:v>282.10000000000002</c:v>
                </c:pt>
                <c:pt idx="15">
                  <c:v>278.60000000000002</c:v>
                </c:pt>
                <c:pt idx="16">
                  <c:v>256.89999999999998</c:v>
                </c:pt>
                <c:pt idx="17">
                  <c:v>225.6</c:v>
                </c:pt>
                <c:pt idx="18">
                  <c:v>187.6</c:v>
                </c:pt>
                <c:pt idx="19">
                  <c:v>144.1</c:v>
                </c:pt>
                <c:pt idx="20">
                  <c:v>110</c:v>
                </c:pt>
                <c:pt idx="21">
                  <c:v>74.38</c:v>
                </c:pt>
                <c:pt idx="22">
                  <c:v>55.31</c:v>
                </c:pt>
                <c:pt idx="23">
                  <c:v>46.66</c:v>
                </c:pt>
                <c:pt idx="24">
                  <c:v>53.17</c:v>
                </c:pt>
                <c:pt idx="25">
                  <c:v>68.77</c:v>
                </c:pt>
                <c:pt idx="26">
                  <c:v>99.64</c:v>
                </c:pt>
                <c:pt idx="27">
                  <c:v>137.69999999999999</c:v>
                </c:pt>
                <c:pt idx="28">
                  <c:v>174</c:v>
                </c:pt>
                <c:pt idx="29">
                  <c:v>206.9</c:v>
                </c:pt>
                <c:pt idx="30">
                  <c:v>244.5</c:v>
                </c:pt>
                <c:pt idx="31">
                  <c:v>267.7</c:v>
                </c:pt>
                <c:pt idx="32">
                  <c:v>277.7</c:v>
                </c:pt>
                <c:pt idx="33">
                  <c:v>275</c:v>
                </c:pt>
                <c:pt idx="34">
                  <c:v>256.10000000000002</c:v>
                </c:pt>
                <c:pt idx="35">
                  <c:v>226.6</c:v>
                </c:pt>
                <c:pt idx="36">
                  <c:v>188.6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6A-4B6F-AB28-EC4E9B0A7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584112"/>
        <c:axId val="716584592"/>
      </c:scatterChart>
      <c:valAx>
        <c:axId val="716584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16584592"/>
        <c:crosses val="autoZero"/>
        <c:crossBetween val="midCat"/>
      </c:valAx>
      <c:valAx>
        <c:axId val="71658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16584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Sheet1!$BP$4</c:f>
              <c:strCache>
                <c:ptCount val="1"/>
                <c:pt idx="0">
                  <c:v>I (mV)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Sheet1!$BN$5:$BN$41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Sheet1!$BP$5:$BP$41</c:f>
              <c:numCache>
                <c:formatCode>General</c:formatCode>
                <c:ptCount val="37"/>
                <c:pt idx="0">
                  <c:v>210.2</c:v>
                </c:pt>
                <c:pt idx="1">
                  <c:v>166.7</c:v>
                </c:pt>
                <c:pt idx="2">
                  <c:v>124.3</c:v>
                </c:pt>
                <c:pt idx="3">
                  <c:v>82.26</c:v>
                </c:pt>
                <c:pt idx="4">
                  <c:v>52.17</c:v>
                </c:pt>
                <c:pt idx="5">
                  <c:v>32.46</c:v>
                </c:pt>
                <c:pt idx="6">
                  <c:v>32.700000000000003</c:v>
                </c:pt>
                <c:pt idx="7">
                  <c:v>47.12</c:v>
                </c:pt>
                <c:pt idx="8">
                  <c:v>77.400000000000006</c:v>
                </c:pt>
                <c:pt idx="9">
                  <c:v>122.1</c:v>
                </c:pt>
                <c:pt idx="10">
                  <c:v>167.7</c:v>
                </c:pt>
                <c:pt idx="11">
                  <c:v>215.3</c:v>
                </c:pt>
                <c:pt idx="12">
                  <c:v>257.7</c:v>
                </c:pt>
                <c:pt idx="13">
                  <c:v>285.2</c:v>
                </c:pt>
                <c:pt idx="14">
                  <c:v>300.39999999999998</c:v>
                </c:pt>
                <c:pt idx="15">
                  <c:v>301.7</c:v>
                </c:pt>
                <c:pt idx="16">
                  <c:v>283.3</c:v>
                </c:pt>
                <c:pt idx="17">
                  <c:v>255.6</c:v>
                </c:pt>
                <c:pt idx="18">
                  <c:v>210.5</c:v>
                </c:pt>
                <c:pt idx="19">
                  <c:v>163.4</c:v>
                </c:pt>
                <c:pt idx="20">
                  <c:v>120.8</c:v>
                </c:pt>
                <c:pt idx="21">
                  <c:v>77.41</c:v>
                </c:pt>
                <c:pt idx="22">
                  <c:v>47.88</c:v>
                </c:pt>
                <c:pt idx="23">
                  <c:v>32.22</c:v>
                </c:pt>
                <c:pt idx="24">
                  <c:v>33.6</c:v>
                </c:pt>
                <c:pt idx="25">
                  <c:v>50.25</c:v>
                </c:pt>
                <c:pt idx="26">
                  <c:v>78.66</c:v>
                </c:pt>
                <c:pt idx="27">
                  <c:v>126.1</c:v>
                </c:pt>
                <c:pt idx="28">
                  <c:v>164.4</c:v>
                </c:pt>
                <c:pt idx="29">
                  <c:v>207.2</c:v>
                </c:pt>
                <c:pt idx="30">
                  <c:v>248.1</c:v>
                </c:pt>
                <c:pt idx="31">
                  <c:v>279.8</c:v>
                </c:pt>
                <c:pt idx="32">
                  <c:v>295.5</c:v>
                </c:pt>
                <c:pt idx="33">
                  <c:v>296.39999999999998</c:v>
                </c:pt>
                <c:pt idx="34">
                  <c:v>281.10000000000002</c:v>
                </c:pt>
                <c:pt idx="35">
                  <c:v>253.5</c:v>
                </c:pt>
                <c:pt idx="36">
                  <c:v>211.1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3E-437D-AE65-18C977725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577872"/>
        <c:axId val="716578352"/>
      </c:scatterChart>
      <c:valAx>
        <c:axId val="716577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16578352"/>
        <c:crosses val="autoZero"/>
        <c:crossBetween val="midCat"/>
      </c:valAx>
      <c:valAx>
        <c:axId val="71657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16577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Sheet1!$BY$4</c:f>
              <c:strCache>
                <c:ptCount val="1"/>
                <c:pt idx="0">
                  <c:v>I (mV)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Sheet1!$BW$5:$BW$41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Sheet1!$BY$5:$BY$41</c:f>
              <c:numCache>
                <c:formatCode>General</c:formatCode>
                <c:ptCount val="37"/>
                <c:pt idx="0">
                  <c:v>156.19999999999999</c:v>
                </c:pt>
                <c:pt idx="1">
                  <c:v>134.1</c:v>
                </c:pt>
                <c:pt idx="2">
                  <c:v>111.7</c:v>
                </c:pt>
                <c:pt idx="3">
                  <c:v>97.03</c:v>
                </c:pt>
                <c:pt idx="4">
                  <c:v>89.57</c:v>
                </c:pt>
                <c:pt idx="5">
                  <c:v>96.33</c:v>
                </c:pt>
                <c:pt idx="6">
                  <c:v>109.5</c:v>
                </c:pt>
                <c:pt idx="7">
                  <c:v>133.9</c:v>
                </c:pt>
                <c:pt idx="8">
                  <c:v>158.69999999999999</c:v>
                </c:pt>
                <c:pt idx="9">
                  <c:v>190.1</c:v>
                </c:pt>
                <c:pt idx="10">
                  <c:v>213.4</c:v>
                </c:pt>
                <c:pt idx="11">
                  <c:v>234.9</c:v>
                </c:pt>
                <c:pt idx="12">
                  <c:v>245.6</c:v>
                </c:pt>
                <c:pt idx="13">
                  <c:v>250</c:v>
                </c:pt>
                <c:pt idx="14">
                  <c:v>241.7</c:v>
                </c:pt>
                <c:pt idx="15">
                  <c:v>227.8</c:v>
                </c:pt>
                <c:pt idx="16">
                  <c:v>204.4</c:v>
                </c:pt>
                <c:pt idx="17">
                  <c:v>179.6</c:v>
                </c:pt>
                <c:pt idx="18">
                  <c:v>152.9</c:v>
                </c:pt>
                <c:pt idx="19">
                  <c:v>126.1</c:v>
                </c:pt>
                <c:pt idx="20">
                  <c:v>103.6</c:v>
                </c:pt>
                <c:pt idx="21">
                  <c:v>90.1</c:v>
                </c:pt>
                <c:pt idx="22">
                  <c:v>84.79</c:v>
                </c:pt>
                <c:pt idx="23">
                  <c:v>91.77</c:v>
                </c:pt>
                <c:pt idx="24">
                  <c:v>106</c:v>
                </c:pt>
                <c:pt idx="25">
                  <c:v>127.7</c:v>
                </c:pt>
                <c:pt idx="26">
                  <c:v>149</c:v>
                </c:pt>
                <c:pt idx="27">
                  <c:v>179.4</c:v>
                </c:pt>
                <c:pt idx="28">
                  <c:v>197.4</c:v>
                </c:pt>
                <c:pt idx="29">
                  <c:v>215.3</c:v>
                </c:pt>
                <c:pt idx="30">
                  <c:v>233.7</c:v>
                </c:pt>
                <c:pt idx="31">
                  <c:v>240</c:v>
                </c:pt>
                <c:pt idx="32">
                  <c:v>237.7</c:v>
                </c:pt>
                <c:pt idx="33">
                  <c:v>222.8</c:v>
                </c:pt>
                <c:pt idx="34">
                  <c:v>203.1</c:v>
                </c:pt>
                <c:pt idx="35">
                  <c:v>182.8</c:v>
                </c:pt>
                <c:pt idx="36">
                  <c:v>153.69999999999999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3F-4AA1-B304-EF3EB6427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297200"/>
        <c:axId val="732298160"/>
      </c:scatterChart>
      <c:valAx>
        <c:axId val="732297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32298160"/>
        <c:crosses val="autoZero"/>
        <c:crossBetween val="midCat"/>
      </c:valAx>
      <c:valAx>
        <c:axId val="73229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32297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'ellipse'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Sheet1!$G$5:$G$41</c:f>
              <c:numCache>
                <c:formatCode>General</c:formatCode>
                <c:ptCount val="37"/>
                <c:pt idx="0">
                  <c:v>0.22540000000000002</c:v>
                </c:pt>
                <c:pt idx="1">
                  <c:v>0.22414224458557855</c:v>
                </c:pt>
                <c:pt idx="2">
                  <c:v>0.21735090318778064</c:v>
                </c:pt>
                <c:pt idx="3">
                  <c:v>0.17684238745278238</c:v>
                </c:pt>
                <c:pt idx="4">
                  <c:v>0.14761676418902706</c:v>
                </c:pt>
                <c:pt idx="5">
                  <c:v>0.11480186709001591</c:v>
                </c:pt>
                <c:pt idx="6">
                  <c:v>7.6850000000000002E-2</c:v>
                </c:pt>
                <c:pt idx="7">
                  <c:v>4.7369789850605137E-2</c:v>
                </c:pt>
                <c:pt idx="8">
                  <c:v>2.2782640909901269E-2</c:v>
                </c:pt>
                <c:pt idx="9">
                  <c:v>7.5224115131389259E-18</c:v>
                </c:pt>
                <c:pt idx="10">
                  <c:v>-2.0316836787030848E-2</c:v>
                </c:pt>
                <c:pt idx="11">
                  <c:v>-4.2581507844045755E-2</c:v>
                </c:pt>
                <c:pt idx="12">
                  <c:v>-6.9599999999999967E-2</c:v>
                </c:pt>
                <c:pt idx="13">
                  <c:v>-0.1007248184378807</c:v>
                </c:pt>
                <c:pt idx="14">
                  <c:v>-0.13237247977095939</c:v>
                </c:pt>
                <c:pt idx="15">
                  <c:v>-0.17389790107991529</c:v>
                </c:pt>
                <c:pt idx="16">
                  <c:v>-0.19423446471644723</c:v>
                </c:pt>
                <c:pt idx="17">
                  <c:v>-0.21390024395425156</c:v>
                </c:pt>
                <c:pt idx="18">
                  <c:v>-0.22159999999999999</c:v>
                </c:pt>
                <c:pt idx="19">
                  <c:v>-0.21892276349461384</c:v>
                </c:pt>
                <c:pt idx="20">
                  <c:v>-0.20522886837964241</c:v>
                </c:pt>
                <c:pt idx="21">
                  <c:v>-0.17692898999316081</c:v>
                </c:pt>
                <c:pt idx="22">
                  <c:v>-0.14845941307645794</c:v>
                </c:pt>
                <c:pt idx="23">
                  <c:v>-0.10856682727605652</c:v>
                </c:pt>
                <c:pt idx="24">
                  <c:v>-7.4700000000000072E-2</c:v>
                </c:pt>
                <c:pt idx="25">
                  <c:v>-4.658314352095605E-2</c:v>
                </c:pt>
                <c:pt idx="26">
                  <c:v>-2.2417979736800705E-2</c:v>
                </c:pt>
                <c:pt idx="27">
                  <c:v>-2.1188942527644584E-17</c:v>
                </c:pt>
                <c:pt idx="28">
                  <c:v>1.9656973711896474E-2</c:v>
                </c:pt>
                <c:pt idx="29">
                  <c:v>4.0837205113084876E-2</c:v>
                </c:pt>
                <c:pt idx="30">
                  <c:v>6.6850000000000007E-2</c:v>
                </c:pt>
                <c:pt idx="31">
                  <c:v>9.3011367121642222E-2</c:v>
                </c:pt>
                <c:pt idx="32">
                  <c:v>0.12838904866674067</c:v>
                </c:pt>
                <c:pt idx="33">
                  <c:v>0.16402521147677263</c:v>
                </c:pt>
                <c:pt idx="34">
                  <c:v>0.19367064914397572</c:v>
                </c:pt>
                <c:pt idx="35">
                  <c:v>0.21596834023557723</c:v>
                </c:pt>
                <c:pt idx="36">
                  <c:v>0.2261</c:v>
                </c:pt>
              </c:numCache>
            </c:numRef>
          </c:xVal>
          <c:yVal>
            <c:numRef>
              <c:f>Sheet1!$H$5:$H$41</c:f>
              <c:numCache>
                <c:formatCode>General</c:formatCode>
                <c:ptCount val="37"/>
                <c:pt idx="0">
                  <c:v>0</c:v>
                </c:pt>
                <c:pt idx="1">
                  <c:v>3.9522325236993346E-2</c:v>
                </c:pt>
                <c:pt idx="2">
                  <c:v>7.9109259151227171E-2</c:v>
                </c:pt>
                <c:pt idx="3">
                  <c:v>0.10209999999999998</c:v>
                </c:pt>
                <c:pt idx="4">
                  <c:v>0.1238651723865961</c:v>
                </c:pt>
                <c:pt idx="5">
                  <c:v>0.13681553754104947</c:v>
                </c:pt>
                <c:pt idx="6">
                  <c:v>0.13310810456166819</c:v>
                </c:pt>
                <c:pt idx="7">
                  <c:v>0.13014742797884832</c:v>
                </c:pt>
                <c:pt idx="8">
                  <c:v>0.12920677719520168</c:v>
                </c:pt>
                <c:pt idx="9">
                  <c:v>0.12279999999999999</c:v>
                </c:pt>
                <c:pt idx="10">
                  <c:v>0.11522250710242835</c:v>
                </c:pt>
                <c:pt idx="11">
                  <c:v>0.1169917312878456</c:v>
                </c:pt>
                <c:pt idx="12">
                  <c:v>0.12055073620679387</c:v>
                </c:pt>
                <c:pt idx="13">
                  <c:v>0.12003916423674384</c:v>
                </c:pt>
                <c:pt idx="14">
                  <c:v>0.11107369895383402</c:v>
                </c:pt>
                <c:pt idx="15">
                  <c:v>0.10039999999999999</c:v>
                </c:pt>
                <c:pt idx="16">
                  <c:v>7.069556362541575E-2</c:v>
                </c:pt>
                <c:pt idx="17">
                  <c:v>3.7716384189257254E-2</c:v>
                </c:pt>
                <c:pt idx="18">
                  <c:v>2.7149289760775018E-17</c:v>
                </c:pt>
                <c:pt idx="19">
                  <c:v>-3.8601989895358645E-2</c:v>
                </c:pt>
                <c:pt idx="20">
                  <c:v>-7.4697199302326045E-2</c:v>
                </c:pt>
                <c:pt idx="21">
                  <c:v>-0.10215000000000003</c:v>
                </c:pt>
                <c:pt idx="22">
                  <c:v>-0.12457223875725131</c:v>
                </c:pt>
                <c:pt idx="23">
                  <c:v>-0.12938490644279535</c:v>
                </c:pt>
                <c:pt idx="24">
                  <c:v>-0.12938419532539511</c:v>
                </c:pt>
                <c:pt idx="25">
                  <c:v>-0.12798613495104072</c:v>
                </c:pt>
                <c:pt idx="26">
                  <c:v>-0.12713868091387603</c:v>
                </c:pt>
                <c:pt idx="27">
                  <c:v>-0.1153</c:v>
                </c:pt>
                <c:pt idx="28">
                  <c:v>-0.11148023764098197</c:v>
                </c:pt>
                <c:pt idx="29">
                  <c:v>-0.11219929892183746</c:v>
                </c:pt>
                <c:pt idx="30">
                  <c:v>-0.11578759648597943</c:v>
                </c:pt>
                <c:pt idx="31">
                  <c:v>-0.11084663091931612</c:v>
                </c:pt>
                <c:pt idx="32">
                  <c:v>-0.10773120338346404</c:v>
                </c:pt>
                <c:pt idx="33">
                  <c:v>-9.470000000000009E-2</c:v>
                </c:pt>
                <c:pt idx="34">
                  <c:v>-7.0490351539420307E-2</c:v>
                </c:pt>
                <c:pt idx="35">
                  <c:v>-3.8081045362357839E-2</c:v>
                </c:pt>
                <c:pt idx="36">
                  <c:v>-5.5401213130967796E-17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22-499D-A68D-1DCDB2752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374447"/>
        <c:axId val="775358127"/>
      </c:scatterChart>
      <c:valAx>
        <c:axId val="775374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75358127"/>
        <c:crosses val="autoZero"/>
        <c:crossBetween val="midCat"/>
      </c:valAx>
      <c:valAx>
        <c:axId val="77535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75374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Sheet1!$Q$4</c:f>
              <c:strCache>
                <c:ptCount val="1"/>
                <c:pt idx="0">
                  <c:v>I*sin(α)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Sheet1!$P$5:$P$41</c:f>
              <c:numCache>
                <c:formatCode>General</c:formatCode>
                <c:ptCount val="37"/>
                <c:pt idx="0">
                  <c:v>0.17080000000000001</c:v>
                </c:pt>
                <c:pt idx="1">
                  <c:v>0.13905485472532375</c:v>
                </c:pt>
                <c:pt idx="2">
                  <c:v>0.11031991368026565</c:v>
                </c:pt>
                <c:pt idx="3">
                  <c:v>8.5866418785227105E-2</c:v>
                </c:pt>
                <c:pt idx="4">
                  <c:v>6.7511496772075533E-2</c:v>
                </c:pt>
                <c:pt idx="5">
                  <c:v>5.9020758321418045E-2</c:v>
                </c:pt>
                <c:pt idx="6">
                  <c:v>4.9510000000000012E-2</c:v>
                </c:pt>
                <c:pt idx="7">
                  <c:v>3.9400720511117045E-2</c:v>
                </c:pt>
                <c:pt idx="8">
                  <c:v>2.399817815356978E-2</c:v>
                </c:pt>
                <c:pt idx="9">
                  <c:v>1.0309624248056037E-17</c:v>
                </c:pt>
                <c:pt idx="10">
                  <c:v>-3.450389290241905E-2</c:v>
                </c:pt>
                <c:pt idx="11">
                  <c:v>-7.6475704047619525E-2</c:v>
                </c:pt>
                <c:pt idx="12">
                  <c:v>-0.12219999999999995</c:v>
                </c:pt>
                <c:pt idx="13">
                  <c:v>-0.16571064577718986</c:v>
                </c:pt>
                <c:pt idx="14">
                  <c:v>-0.1990183463223105</c:v>
                </c:pt>
                <c:pt idx="15">
                  <c:v>-0.21650635094610968</c:v>
                </c:pt>
                <c:pt idx="16">
                  <c:v>-0.21923028842935241</c:v>
                </c:pt>
                <c:pt idx="17">
                  <c:v>-0.20218103169340632</c:v>
                </c:pt>
                <c:pt idx="18">
                  <c:v>-0.1782</c:v>
                </c:pt>
                <c:pt idx="19">
                  <c:v>-0.14604698977171046</c:v>
                </c:pt>
                <c:pt idx="20">
                  <c:v>-0.11943493210188895</c:v>
                </c:pt>
                <c:pt idx="21">
                  <c:v>-9.1452282639636714E-2</c:v>
                </c:pt>
                <c:pt idx="22">
                  <c:v>-7.0905073655092604E-2</c:v>
                </c:pt>
                <c:pt idx="23">
                  <c:v>-5.6623160537287262E-2</c:v>
                </c:pt>
                <c:pt idx="24">
                  <c:v>-4.8450000000000042E-2</c:v>
                </c:pt>
                <c:pt idx="25">
                  <c:v>-3.9469124539782151E-2</c:v>
                </c:pt>
                <c:pt idx="26">
                  <c:v>-2.3824529975902838E-2</c:v>
                </c:pt>
                <c:pt idx="27">
                  <c:v>-2.9660844093337694E-17</c:v>
                </c:pt>
                <c:pt idx="28">
                  <c:v>3.3045248210016781E-2</c:v>
                </c:pt>
                <c:pt idx="29">
                  <c:v>7.1653220026727651E-2</c:v>
                </c:pt>
                <c:pt idx="30">
                  <c:v>0.11505000000000003</c:v>
                </c:pt>
                <c:pt idx="31">
                  <c:v>0.15587599534898577</c:v>
                </c:pt>
                <c:pt idx="32">
                  <c:v>0.18944279078332321</c:v>
                </c:pt>
                <c:pt idx="33">
                  <c:v>0.20888532739280655</c:v>
                </c:pt>
                <c:pt idx="34">
                  <c:v>0.21284037860800825</c:v>
                </c:pt>
                <c:pt idx="35">
                  <c:v>0.20070382006388801</c:v>
                </c:pt>
                <c:pt idx="36">
                  <c:v>0.1802</c:v>
                </c:pt>
              </c:numCache>
            </c:numRef>
          </c:xVal>
          <c:yVal>
            <c:numRef>
              <c:f>Sheet1!$Q$5:$Q$41</c:f>
              <c:numCache>
                <c:formatCode>General</c:formatCode>
                <c:ptCount val="37"/>
                <c:pt idx="0">
                  <c:v>0</c:v>
                </c:pt>
                <c:pt idx="1">
                  <c:v>2.4519122686570562E-2</c:v>
                </c:pt>
                <c:pt idx="2">
                  <c:v>4.015316482643351E-2</c:v>
                </c:pt>
                <c:pt idx="3">
                  <c:v>4.9574999999999994E-2</c:v>
                </c:pt>
                <c:pt idx="4">
                  <c:v>5.6648872041674701E-2</c:v>
                </c:pt>
                <c:pt idx="5">
                  <c:v>7.0338200767184555E-2</c:v>
                </c:pt>
                <c:pt idx="6">
                  <c:v>8.5753835482735102E-2</c:v>
                </c:pt>
                <c:pt idx="7">
                  <c:v>0.10825258991453664</c:v>
                </c:pt>
                <c:pt idx="8">
                  <c:v>0.13610043146628714</c:v>
                </c:pt>
                <c:pt idx="9">
                  <c:v>0.16830000000000001</c:v>
                </c:pt>
                <c:pt idx="10">
                  <c:v>0.19568130052352573</c:v>
                </c:pt>
                <c:pt idx="11">
                  <c:v>0.21011527000772912</c:v>
                </c:pt>
                <c:pt idx="12">
                  <c:v>0.21165660868491681</c:v>
                </c:pt>
                <c:pt idx="13">
                  <c:v>0.19748625743607257</c:v>
                </c:pt>
                <c:pt idx="14">
                  <c:v>0.16699622099656297</c:v>
                </c:pt>
                <c:pt idx="15">
                  <c:v>0.12499999999999999</c:v>
                </c:pt>
                <c:pt idx="16">
                  <c:v>7.9793299437878551E-2</c:v>
                </c:pt>
                <c:pt idx="17">
                  <c:v>3.5649970875020788E-2</c:v>
                </c:pt>
                <c:pt idx="18">
                  <c:v>2.1832145466471607E-17</c:v>
                </c:pt>
                <c:pt idx="19">
                  <c:v>-2.5752024748005791E-2</c:v>
                </c:pt>
                <c:pt idx="20">
                  <c:v>-4.3470760216692481E-2</c:v>
                </c:pt>
                <c:pt idx="21">
                  <c:v>-5.2800000000000014E-2</c:v>
                </c:pt>
                <c:pt idx="22">
                  <c:v>-5.9496421152586076E-2</c:v>
                </c:pt>
                <c:pt idx="23">
                  <c:v>-6.7480854994350761E-2</c:v>
                </c:pt>
                <c:pt idx="24">
                  <c:v>-8.3917861626712081E-2</c:v>
                </c:pt>
                <c:pt idx="25">
                  <c:v>-0.10844052843869384</c:v>
                </c:pt>
                <c:pt idx="26">
                  <c:v>-0.13511562371327493</c:v>
                </c:pt>
                <c:pt idx="27">
                  <c:v>-0.16140000000000002</c:v>
                </c:pt>
                <c:pt idx="28">
                  <c:v>-0.18740891539822324</c:v>
                </c:pt>
                <c:pt idx="29">
                  <c:v>-0.19686560405464779</c:v>
                </c:pt>
                <c:pt idx="30">
                  <c:v>-0.19927244541079933</c:v>
                </c:pt>
                <c:pt idx="31">
                  <c:v>-0.1857657774563522</c:v>
                </c:pt>
                <c:pt idx="32">
                  <c:v>-0.15896137587548126</c:v>
                </c:pt>
                <c:pt idx="33">
                  <c:v>-0.12060000000000011</c:v>
                </c:pt>
                <c:pt idx="34">
                  <c:v>-7.7467562463263945E-2</c:v>
                </c:pt>
                <c:pt idx="35">
                  <c:v>-3.5389498608520413E-2</c:v>
                </c:pt>
                <c:pt idx="36">
                  <c:v>-4.4154350314906666E-17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A3-4277-93EC-D9B4BBE8B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3532447"/>
        <c:axId val="973536767"/>
      </c:scatterChart>
      <c:valAx>
        <c:axId val="973532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73536767"/>
        <c:crosses val="autoZero"/>
        <c:crossBetween val="midCat"/>
      </c:valAx>
      <c:valAx>
        <c:axId val="97353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73532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Sheet1!$Z$4</c:f>
              <c:strCache>
                <c:ptCount val="1"/>
                <c:pt idx="0">
                  <c:v>I*sin(α)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Sheet1!$Y$5:$Y$41</c:f>
              <c:numCache>
                <c:formatCode>General</c:formatCode>
                <c:ptCount val="37"/>
                <c:pt idx="0">
                  <c:v>0.24049999999999999</c:v>
                </c:pt>
                <c:pt idx="1">
                  <c:v>0.19479497354581474</c:v>
                </c:pt>
                <c:pt idx="2">
                  <c:v>0.14245740131114371</c:v>
                </c:pt>
                <c:pt idx="3">
                  <c:v>9.249151312417804E-2</c:v>
                </c:pt>
                <c:pt idx="4">
                  <c:v>5.1133466578191789E-2</c:v>
                </c:pt>
                <c:pt idx="5">
                  <c:v>2.7363468544355982E-2</c:v>
                </c:pt>
                <c:pt idx="6">
                  <c:v>1.7100000000000004E-2</c:v>
                </c:pt>
                <c:pt idx="7">
                  <c:v>1.4183575343715485E-2</c:v>
                </c:pt>
                <c:pt idx="8">
                  <c:v>1.1044024099616774E-2</c:v>
                </c:pt>
                <c:pt idx="9">
                  <c:v>6.4259036459957123E-18</c:v>
                </c:pt>
                <c:pt idx="10">
                  <c:v>-2.6203510009939784E-2</c:v>
                </c:pt>
                <c:pt idx="11">
                  <c:v>-6.8301422622136038E-2</c:v>
                </c:pt>
                <c:pt idx="12">
                  <c:v>-0.12164999999999995</c:v>
                </c:pt>
                <c:pt idx="13">
                  <c:v>-0.17972341566835642</c:v>
                </c:pt>
                <c:pt idx="14">
                  <c:v>-0.22881747515963868</c:v>
                </c:pt>
                <c:pt idx="15">
                  <c:v>-0.26768845230977006</c:v>
                </c:pt>
                <c:pt idx="16">
                  <c:v>-0.27965252394588636</c:v>
                </c:pt>
                <c:pt idx="17">
                  <c:v>-0.27131453595486332</c:v>
                </c:pt>
                <c:pt idx="18">
                  <c:v>-0.23319999999999999</c:v>
                </c:pt>
                <c:pt idx="19">
                  <c:v>-0.18799980005003053</c:v>
                </c:pt>
                <c:pt idx="20">
                  <c:v>-0.13315444436536322</c:v>
                </c:pt>
                <c:pt idx="21">
                  <c:v>-8.7035553080336087E-2</c:v>
                </c:pt>
                <c:pt idx="22">
                  <c:v>-4.7525397251101394E-2</c:v>
                </c:pt>
                <c:pt idx="23">
                  <c:v>-2.5576518989427404E-2</c:v>
                </c:pt>
                <c:pt idx="24">
                  <c:v>-1.6440000000000014E-2</c:v>
                </c:pt>
                <c:pt idx="25">
                  <c:v>-1.4412728839743674E-2</c:v>
                </c:pt>
                <c:pt idx="26">
                  <c:v>-1.0997139091646697E-2</c:v>
                </c:pt>
                <c:pt idx="27">
                  <c:v>-1.9149070350221731E-17</c:v>
                </c:pt>
                <c:pt idx="28">
                  <c:v>2.5439458028205238E-2</c:v>
                </c:pt>
                <c:pt idx="29">
                  <c:v>6.522324133220507E-2</c:v>
                </c:pt>
                <c:pt idx="30">
                  <c:v>0.11575000000000003</c:v>
                </c:pt>
                <c:pt idx="31">
                  <c:v>0.17271703072277308</c:v>
                </c:pt>
                <c:pt idx="32">
                  <c:v>0.22154005295000839</c:v>
                </c:pt>
                <c:pt idx="33">
                  <c:v>0.25980762113533151</c:v>
                </c:pt>
                <c:pt idx="34">
                  <c:v>0.27467215305572101</c:v>
                </c:pt>
                <c:pt idx="35">
                  <c:v>0.26885251657233283</c:v>
                </c:pt>
                <c:pt idx="36">
                  <c:v>0.23630000000000001</c:v>
                </c:pt>
              </c:numCache>
            </c:numRef>
          </c:xVal>
          <c:yVal>
            <c:numRef>
              <c:f>Sheet1!$Z$5:$Z$41</c:f>
              <c:numCache>
                <c:formatCode>General</c:formatCode>
                <c:ptCount val="37"/>
                <c:pt idx="0">
                  <c:v>0</c:v>
                </c:pt>
                <c:pt idx="1">
                  <c:v>3.4347609542518823E-2</c:v>
                </c:pt>
                <c:pt idx="2">
                  <c:v>5.1850253728171369E-2</c:v>
                </c:pt>
                <c:pt idx="3">
                  <c:v>5.3399999999999989E-2</c:v>
                </c:pt>
                <c:pt idx="4">
                  <c:v>4.2906072946576494E-2</c:v>
                </c:pt>
                <c:pt idx="5">
                  <c:v>3.2610511943574894E-2</c:v>
                </c:pt>
                <c:pt idx="6">
                  <c:v>2.96180688094278E-2</c:v>
                </c:pt>
                <c:pt idx="7">
                  <c:v>3.8969052983991614E-2</c:v>
                </c:pt>
                <c:pt idx="8">
                  <c:v>6.2633773091576431E-2</c:v>
                </c:pt>
                <c:pt idx="9">
                  <c:v>0.10490000000000001</c:v>
                </c:pt>
                <c:pt idx="10">
                  <c:v>0.1486074899295422</c:v>
                </c:pt>
                <c:pt idx="11">
                  <c:v>0.18765661637094591</c:v>
                </c:pt>
                <c:pt idx="12">
                  <c:v>0.21070398074075394</c:v>
                </c:pt>
                <c:pt idx="13">
                  <c:v>0.21418602629606626</c:v>
                </c:pt>
                <c:pt idx="14">
                  <c:v>0.19200065901336932</c:v>
                </c:pt>
                <c:pt idx="15">
                  <c:v>0.15454999999999999</c:v>
                </c:pt>
                <c:pt idx="16">
                  <c:v>0.10178519465371907</c:v>
                </c:pt>
                <c:pt idx="17">
                  <c:v>4.7840072947239298E-2</c:v>
                </c:pt>
                <c:pt idx="18">
                  <c:v>2.8570461968469015E-17</c:v>
                </c:pt>
                <c:pt idx="19">
                  <c:v>-3.3149437116617032E-2</c:v>
                </c:pt>
                <c:pt idx="20">
                  <c:v>-4.8464254309247244E-2</c:v>
                </c:pt>
                <c:pt idx="21">
                  <c:v>-5.0250000000000017E-2</c:v>
                </c:pt>
                <c:pt idx="22">
                  <c:v>-3.9878543304952892E-2</c:v>
                </c:pt>
                <c:pt idx="23">
                  <c:v>-3.0480908391704128E-2</c:v>
                </c:pt>
                <c:pt idx="24">
                  <c:v>-2.8474915276432332E-2</c:v>
                </c:pt>
                <c:pt idx="25">
                  <c:v>-3.9598647039918188E-2</c:v>
                </c:pt>
                <c:pt idx="26">
                  <c:v>-6.2367874998263129E-2</c:v>
                </c:pt>
                <c:pt idx="27">
                  <c:v>-0.1042</c:v>
                </c:pt>
                <c:pt idx="28">
                  <c:v>-0.14427433581628848</c:v>
                </c:pt>
                <c:pt idx="29">
                  <c:v>-0.17919938278387271</c:v>
                </c:pt>
                <c:pt idx="30">
                  <c:v>-0.20048488097609754</c:v>
                </c:pt>
                <c:pt idx="31">
                  <c:v>-0.20583614186606941</c:v>
                </c:pt>
                <c:pt idx="32">
                  <c:v>-0.18589417672134725</c:v>
                </c:pt>
                <c:pt idx="33">
                  <c:v>-0.15000000000000013</c:v>
                </c:pt>
                <c:pt idx="34">
                  <c:v>-9.9972487894092937E-2</c:v>
                </c:pt>
                <c:pt idx="35">
                  <c:v>-4.7405952503072002E-2</c:v>
                </c:pt>
                <c:pt idx="36">
                  <c:v>-5.7900515978981383E-17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CB-44EB-BC4C-D244F7D34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3451327"/>
        <c:axId val="973440287"/>
      </c:scatterChart>
      <c:valAx>
        <c:axId val="973451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73440287"/>
        <c:crosses val="autoZero"/>
        <c:crossBetween val="midCat"/>
      </c:valAx>
      <c:valAx>
        <c:axId val="97344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73451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Sheet1!$AI$4</c:f>
              <c:strCache>
                <c:ptCount val="1"/>
                <c:pt idx="0">
                  <c:v>I*sin(α)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Sheet1!$AH$5:$AH$41</c:f>
              <c:numCache>
                <c:formatCode>General</c:formatCode>
                <c:ptCount val="37"/>
                <c:pt idx="0">
                  <c:v>0.30110000000000003</c:v>
                </c:pt>
                <c:pt idx="1">
                  <c:v>0.26589809331329617</c:v>
                </c:pt>
                <c:pt idx="2">
                  <c:v>0.20804794624200013</c:v>
                </c:pt>
                <c:pt idx="3">
                  <c:v>0.1470511135625977</c:v>
                </c:pt>
                <c:pt idx="4">
                  <c:v>8.8478133180241961E-2</c:v>
                </c:pt>
                <c:pt idx="5">
                  <c:v>4.0341350383927208E-2</c:v>
                </c:pt>
                <c:pt idx="6">
                  <c:v>1.4165000000000002E-2</c:v>
                </c:pt>
                <c:pt idx="7">
                  <c:v>4.524926496198599E-3</c:v>
                </c:pt>
                <c:pt idx="8">
                  <c:v>2.8304652959709659E-3</c:v>
                </c:pt>
                <c:pt idx="9">
                  <c:v>2.5795500718100994E-18</c:v>
                </c:pt>
                <c:pt idx="10">
                  <c:v>-1.3897063658684433E-2</c:v>
                </c:pt>
                <c:pt idx="11">
                  <c:v>-4.596750726296988E-2</c:v>
                </c:pt>
                <c:pt idx="12">
                  <c:v>-9.4099999999999948E-2</c:v>
                </c:pt>
                <c:pt idx="13">
                  <c:v>-0.1527906148224904</c:v>
                </c:pt>
                <c:pt idx="14">
                  <c:v>-0.21571811518230419</c:v>
                </c:pt>
                <c:pt idx="15">
                  <c:v>-0.27305780981323352</c:v>
                </c:pt>
                <c:pt idx="16">
                  <c:v>-0.30596391732789174</c:v>
                </c:pt>
                <c:pt idx="17">
                  <c:v>-0.30863874979402595</c:v>
                </c:pt>
                <c:pt idx="18">
                  <c:v>-0.27989999999999998</c:v>
                </c:pt>
                <c:pt idx="19">
                  <c:v>-0.24127789948799097</c:v>
                </c:pt>
                <c:pt idx="20">
                  <c:v>-0.18840837046757464</c:v>
                </c:pt>
                <c:pt idx="21">
                  <c:v>-0.12843156738123226</c:v>
                </c:pt>
                <c:pt idx="22">
                  <c:v>-7.5608586535843125E-2</c:v>
                </c:pt>
                <c:pt idx="23">
                  <c:v>-3.5501159682987574E-2</c:v>
                </c:pt>
                <c:pt idx="24">
                  <c:v>-1.2170000000000011E-2</c:v>
                </c:pt>
                <c:pt idx="25">
                  <c:v>-4.0255770869431183E-3</c:v>
                </c:pt>
                <c:pt idx="26">
                  <c:v>-2.8669314132810197E-3</c:v>
                </c:pt>
                <c:pt idx="27">
                  <c:v>-7.5732551740176359E-18</c:v>
                </c:pt>
                <c:pt idx="28">
                  <c:v>1.3127802231619906E-2</c:v>
                </c:pt>
                <c:pt idx="29">
                  <c:v>4.2615709858378349E-2</c:v>
                </c:pt>
                <c:pt idx="30">
                  <c:v>8.4800000000000014E-2</c:v>
                </c:pt>
                <c:pt idx="31">
                  <c:v>0.14147755289200728</c:v>
                </c:pt>
                <c:pt idx="32">
                  <c:v>0.20759804408524299</c:v>
                </c:pt>
                <c:pt idx="33">
                  <c:v>0.25235980266278535</c:v>
                </c:pt>
                <c:pt idx="34">
                  <c:v>0.29496951366469659</c:v>
                </c:pt>
                <c:pt idx="35">
                  <c:v>0.30578280731029056</c:v>
                </c:pt>
                <c:pt idx="36">
                  <c:v>0.28870000000000001</c:v>
                </c:pt>
              </c:numCache>
            </c:numRef>
          </c:xVal>
          <c:yVal>
            <c:numRef>
              <c:f>Sheet1!$AI$5:$AI$41</c:f>
              <c:numCache>
                <c:formatCode>General</c:formatCode>
                <c:ptCount val="37"/>
                <c:pt idx="0">
                  <c:v>0</c:v>
                </c:pt>
                <c:pt idx="1">
                  <c:v>4.6885007970071189E-2</c:v>
                </c:pt>
                <c:pt idx="2">
                  <c:v>7.5723259732303053E-2</c:v>
                </c:pt>
                <c:pt idx="3">
                  <c:v>8.4899999999999989E-2</c:v>
                </c:pt>
                <c:pt idx="4">
                  <c:v>7.4241968918795281E-2</c:v>
                </c:pt>
                <c:pt idx="5">
                  <c:v>4.8076949250147057E-2</c:v>
                </c:pt>
                <c:pt idx="6">
                  <c:v>2.4534499689213143E-2</c:v>
                </c:pt>
                <c:pt idx="7">
                  <c:v>1.2432133372997567E-2</c:v>
                </c:pt>
                <c:pt idx="8">
                  <c:v>1.6052366374098993E-2</c:v>
                </c:pt>
                <c:pt idx="9">
                  <c:v>4.2110000000000002E-2</c:v>
                </c:pt>
                <c:pt idx="10">
                  <c:v>7.8814164473567011E-2</c:v>
                </c:pt>
                <c:pt idx="11">
                  <c:v>0.12629468823362611</c:v>
                </c:pt>
                <c:pt idx="12">
                  <c:v>0.16298598099223136</c:v>
                </c:pt>
                <c:pt idx="13">
                  <c:v>0.18208876412938108</c:v>
                </c:pt>
                <c:pt idx="14">
                  <c:v>0.18100899088772954</c:v>
                </c:pt>
                <c:pt idx="15">
                  <c:v>0.15764999999999998</c:v>
                </c:pt>
                <c:pt idx="16">
                  <c:v>0.11136175866683778</c:v>
                </c:pt>
                <c:pt idx="17">
                  <c:v>5.4421338880815941E-2</c:v>
                </c:pt>
                <c:pt idx="18">
                  <c:v>3.4291905252892272E-17</c:v>
                </c:pt>
                <c:pt idx="19">
                  <c:v>-4.2543803528397962E-2</c:v>
                </c:pt>
                <c:pt idx="20">
                  <c:v>-6.8575038736796573E-2</c:v>
                </c:pt>
                <c:pt idx="21">
                  <c:v>-7.4150000000000021E-2</c:v>
                </c:pt>
                <c:pt idx="22">
                  <c:v>-6.3443137076061418E-2</c:v>
                </c:pt>
                <c:pt idx="23">
                  <c:v>-4.2308634593461146E-2</c:v>
                </c:pt>
                <c:pt idx="24">
                  <c:v>-2.1079058328113229E-2</c:v>
                </c:pt>
                <c:pt idx="25">
                  <c:v>-1.1060182146650142E-2</c:v>
                </c:pt>
                <c:pt idx="26">
                  <c:v>-1.6259176002231555E-2</c:v>
                </c:pt>
                <c:pt idx="27">
                  <c:v>-4.1210000000000004E-2</c:v>
                </c:pt>
                <c:pt idx="28">
                  <c:v>-7.4451466127722937E-2</c:v>
                </c:pt>
                <c:pt idx="29">
                  <c:v>-0.11708570054992416</c:v>
                </c:pt>
                <c:pt idx="30">
                  <c:v>-0.14687790848184079</c:v>
                </c:pt>
                <c:pt idx="31">
                  <c:v>-0.16860638193048708</c:v>
                </c:pt>
                <c:pt idx="32">
                  <c:v>-0.17419544222505223</c:v>
                </c:pt>
                <c:pt idx="33">
                  <c:v>-0.14570000000000013</c:v>
                </c:pt>
                <c:pt idx="34">
                  <c:v>-0.10736012298992736</c:v>
                </c:pt>
                <c:pt idx="35">
                  <c:v>-5.3917759165581884E-2</c:v>
                </c:pt>
                <c:pt idx="36">
                  <c:v>-7.0740071786423718E-17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D6-4357-9396-DAE7C29F1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3451327"/>
        <c:axId val="973440287"/>
      </c:scatterChart>
      <c:valAx>
        <c:axId val="973451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73440287"/>
        <c:crosses val="autoZero"/>
        <c:crossBetween val="midCat"/>
      </c:valAx>
      <c:valAx>
        <c:axId val="97344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73451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Sheet1!$AR$4</c:f>
              <c:strCache>
                <c:ptCount val="1"/>
                <c:pt idx="0">
                  <c:v>I*sin(α)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Sheet1!$AQ$5:$AQ$41</c:f>
              <c:numCache>
                <c:formatCode>General</c:formatCode>
                <c:ptCount val="37"/>
                <c:pt idx="0">
                  <c:v>0.22090000000000001</c:v>
                </c:pt>
                <c:pt idx="1">
                  <c:v>0.23891436088076165</c:v>
                </c:pt>
                <c:pt idx="2">
                  <c:v>0.22862721463721153</c:v>
                </c:pt>
                <c:pt idx="3">
                  <c:v>0.19875283016852868</c:v>
                </c:pt>
                <c:pt idx="4">
                  <c:v>0.16086933305498538</c:v>
                </c:pt>
                <c:pt idx="5">
                  <c:v>0.1176301325726367</c:v>
                </c:pt>
                <c:pt idx="6">
                  <c:v>7.8200000000000019E-2</c:v>
                </c:pt>
                <c:pt idx="7">
                  <c:v>4.5933305248637327E-2</c:v>
                </c:pt>
                <c:pt idx="8">
                  <c:v>1.9674338529663216E-2</c:v>
                </c:pt>
                <c:pt idx="9">
                  <c:v>6.0810243559389354E-18</c:v>
                </c:pt>
                <c:pt idx="10">
                  <c:v>-1.6475739097038346E-2</c:v>
                </c:pt>
                <c:pt idx="11">
                  <c:v>-3.4817650590553077E-2</c:v>
                </c:pt>
                <c:pt idx="12">
                  <c:v>-5.7949999999999974E-2</c:v>
                </c:pt>
                <c:pt idx="13">
                  <c:v>-8.6390654741870909E-2</c:v>
                </c:pt>
                <c:pt idx="14">
                  <c:v>-0.1208052086798628</c:v>
                </c:pt>
                <c:pt idx="15">
                  <c:v>-0.15926207175595827</c:v>
                </c:pt>
                <c:pt idx="16">
                  <c:v>-0.19197920242656108</c:v>
                </c:pt>
                <c:pt idx="17">
                  <c:v>-0.20661266658196126</c:v>
                </c:pt>
                <c:pt idx="18">
                  <c:v>-0.22269999999999998</c:v>
                </c:pt>
                <c:pt idx="19">
                  <c:v>-0.22404376381027732</c:v>
                </c:pt>
                <c:pt idx="20">
                  <c:v>-0.20964542369733616</c:v>
                </c:pt>
                <c:pt idx="21">
                  <c:v>-0.18238495003700275</c:v>
                </c:pt>
                <c:pt idx="22">
                  <c:v>-0.14937866640820072</c:v>
                </c:pt>
                <c:pt idx="23">
                  <c:v>-0.11036663258317882</c:v>
                </c:pt>
                <c:pt idx="24">
                  <c:v>-7.3050000000000073E-2</c:v>
                </c:pt>
                <c:pt idx="25">
                  <c:v>-4.2752517915708568E-2</c:v>
                </c:pt>
                <c:pt idx="26">
                  <c:v>-1.8493530921528081E-2</c:v>
                </c:pt>
                <c:pt idx="27">
                  <c:v>-1.704671560159854E-17</c:v>
                </c:pt>
                <c:pt idx="28">
                  <c:v>1.5380019095959986E-2</c:v>
                </c:pt>
                <c:pt idx="29">
                  <c:v>3.1568459228959247E-2</c:v>
                </c:pt>
                <c:pt idx="30">
                  <c:v>5.2150000000000016E-2</c:v>
                </c:pt>
                <c:pt idx="31">
                  <c:v>7.9384269796287599E-2</c:v>
                </c:pt>
                <c:pt idx="32">
                  <c:v>0.10977416869894953</c:v>
                </c:pt>
                <c:pt idx="33">
                  <c:v>0.14601188307805632</c:v>
                </c:pt>
                <c:pt idx="34">
                  <c:v>0.18201846064623045</c:v>
                </c:pt>
                <c:pt idx="35">
                  <c:v>0.20484001262653925</c:v>
                </c:pt>
                <c:pt idx="36">
                  <c:v>0.22269999999999998</c:v>
                </c:pt>
              </c:numCache>
            </c:numRef>
          </c:xVal>
          <c:yVal>
            <c:numRef>
              <c:f>Sheet1!$AR$5:$AR$41</c:f>
              <c:numCache>
                <c:formatCode>General</c:formatCode>
                <c:ptCount val="37"/>
                <c:pt idx="0">
                  <c:v>0</c:v>
                </c:pt>
                <c:pt idx="1">
                  <c:v>4.2127047901997297E-2</c:v>
                </c:pt>
                <c:pt idx="2">
                  <c:v>8.3213500871135201E-2</c:v>
                </c:pt>
                <c:pt idx="3">
                  <c:v>0.11474999999999999</c:v>
                </c:pt>
                <c:pt idx="4">
                  <c:v>0.13498539803417323</c:v>
                </c:pt>
                <c:pt idx="5">
                  <c:v>0.14018613309077296</c:v>
                </c:pt>
                <c:pt idx="6">
                  <c:v>0.13544637315188621</c:v>
                </c:pt>
                <c:pt idx="7">
                  <c:v>0.1262007189715475</c:v>
                </c:pt>
                <c:pt idx="8">
                  <c:v>0.11157871841628317</c:v>
                </c:pt>
                <c:pt idx="9">
                  <c:v>9.9269999999999997E-2</c:v>
                </c:pt>
                <c:pt idx="10">
                  <c:v>9.3438559605798291E-2</c:v>
                </c:pt>
                <c:pt idx="11">
                  <c:v>9.5660708796005481E-2</c:v>
                </c:pt>
                <c:pt idx="12">
                  <c:v>0.10037234429861645</c:v>
                </c:pt>
                <c:pt idx="13">
                  <c:v>0.10295637315519066</c:v>
                </c:pt>
                <c:pt idx="14">
                  <c:v>0.10136760604756725</c:v>
                </c:pt>
                <c:pt idx="15">
                  <c:v>9.194999999999999E-2</c:v>
                </c:pt>
                <c:pt idx="16">
                  <c:v>6.9874715281434158E-2</c:v>
                </c:pt>
                <c:pt idx="17">
                  <c:v>3.6431387674521976E-2</c:v>
                </c:pt>
                <c:pt idx="18">
                  <c:v>2.7284056090814966E-17</c:v>
                </c:pt>
                <c:pt idx="19">
                  <c:v>-3.950496041922668E-2</c:v>
                </c:pt>
                <c:pt idx="20">
                  <c:v>-7.6304693975956669E-2</c:v>
                </c:pt>
                <c:pt idx="21">
                  <c:v>-0.10530000000000002</c:v>
                </c:pt>
                <c:pt idx="22">
                  <c:v>-0.12534358388887515</c:v>
                </c:pt>
                <c:pt idx="23">
                  <c:v>-0.13152983088352849</c:v>
                </c:pt>
                <c:pt idx="24">
                  <c:v>-0.12652631149290644</c:v>
                </c:pt>
                <c:pt idx="25">
                  <c:v>-0.11746157759823855</c:v>
                </c:pt>
                <c:pt idx="26">
                  <c:v>-0.10488202569580016</c:v>
                </c:pt>
                <c:pt idx="27">
                  <c:v>-9.2760000000000009E-2</c:v>
                </c:pt>
                <c:pt idx="28">
                  <c:v>-8.7224422684291272E-2</c:v>
                </c:pt>
                <c:pt idx="29">
                  <c:v>-8.6733628898539333E-2</c:v>
                </c:pt>
                <c:pt idx="30">
                  <c:v>-9.0326449614716947E-2</c:v>
                </c:pt>
                <c:pt idx="31">
                  <c:v>-9.4606488725193796E-2</c:v>
                </c:pt>
                <c:pt idx="32">
                  <c:v>-9.2111464468081133E-2</c:v>
                </c:pt>
                <c:pt idx="33">
                  <c:v>-8.4300000000000069E-2</c:v>
                </c:pt>
                <c:pt idx="34">
                  <c:v>-6.6249301762182009E-2</c:v>
                </c:pt>
                <c:pt idx="35">
                  <c:v>-3.611882095472152E-2</c:v>
                </c:pt>
                <c:pt idx="36">
                  <c:v>-5.4568112181629931E-17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4E-4EA3-8770-10B35C2E0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3460447"/>
        <c:axId val="973452767"/>
      </c:scatterChart>
      <c:valAx>
        <c:axId val="973460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73452767"/>
        <c:crosses val="autoZero"/>
        <c:crossBetween val="midCat"/>
      </c:valAx>
      <c:valAx>
        <c:axId val="97345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73460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Sheet1!$BA$4</c:f>
              <c:strCache>
                <c:ptCount val="1"/>
                <c:pt idx="0">
                  <c:v>I*sin(α)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Sheet1!$AZ$5:$AZ$41</c:f>
              <c:numCache>
                <c:formatCode>General</c:formatCode>
                <c:ptCount val="37"/>
                <c:pt idx="0">
                  <c:v>0.2797</c:v>
                </c:pt>
                <c:pt idx="1">
                  <c:v>0.24049005328558121</c:v>
                </c:pt>
                <c:pt idx="2">
                  <c:v>0.18624707743976704</c:v>
                </c:pt>
                <c:pt idx="3">
                  <c:v>0.12418804290268851</c:v>
                </c:pt>
                <c:pt idx="4">
                  <c:v>7.3930949205412572E-2</c:v>
                </c:pt>
                <c:pt idx="5">
                  <c:v>3.5276184019597284E-2</c:v>
                </c:pt>
                <c:pt idx="6">
                  <c:v>1.1510000000000001E-2</c:v>
                </c:pt>
                <c:pt idx="7">
                  <c:v>4.2307891729385233E-3</c:v>
                </c:pt>
                <c:pt idx="8">
                  <c:v>3.6726589576555782E-3</c:v>
                </c:pt>
                <c:pt idx="9">
                  <c:v>3.1572075682995138E-18</c:v>
                </c:pt>
                <c:pt idx="10">
                  <c:v>-1.5383492059513356E-2</c:v>
                </c:pt>
                <c:pt idx="11">
                  <c:v>-4.7198779778942289E-2</c:v>
                </c:pt>
                <c:pt idx="12">
                  <c:v>-9.4949999999999965E-2</c:v>
                </c:pt>
                <c:pt idx="13">
                  <c:v>-0.15150503960311731</c:v>
                </c:pt>
                <c:pt idx="14">
                  <c:v>-0.21334337740863538</c:v>
                </c:pt>
                <c:pt idx="15">
                  <c:v>-0.26162627448327896</c:v>
                </c:pt>
                <c:pt idx="16">
                  <c:v>-0.29215043580233885</c:v>
                </c:pt>
                <c:pt idx="17">
                  <c:v>-0.2953438451283612</c:v>
                </c:pt>
                <c:pt idx="18">
                  <c:v>-0.27760000000000001</c:v>
                </c:pt>
                <c:pt idx="19">
                  <c:v>-0.23359639901449575</c:v>
                </c:pt>
                <c:pt idx="20">
                  <c:v>-0.17600442787320067</c:v>
                </c:pt>
                <c:pt idx="21">
                  <c:v>-0.12046413366641541</c:v>
                </c:pt>
                <c:pt idx="22">
                  <c:v>-6.6845038106562019E-2</c:v>
                </c:pt>
                <c:pt idx="23">
                  <c:v>-3.1323040220025064E-2</c:v>
                </c:pt>
                <c:pt idx="24">
                  <c:v>-1.010500000000001E-2</c:v>
                </c:pt>
                <c:pt idx="25">
                  <c:v>-4.2513103815380602E-3</c:v>
                </c:pt>
                <c:pt idx="26">
                  <c:v>-3.4000313187184951E-3</c:v>
                </c:pt>
                <c:pt idx="27">
                  <c:v>-8.3359100871982503E-18</c:v>
                </c:pt>
                <c:pt idx="28">
                  <c:v>1.4664588603972236E-2</c:v>
                </c:pt>
                <c:pt idx="29">
                  <c:v>4.5454477047981418E-2</c:v>
                </c:pt>
                <c:pt idx="30">
                  <c:v>8.9450000000000016E-2</c:v>
                </c:pt>
                <c:pt idx="31">
                  <c:v>0.1441129820917221</c:v>
                </c:pt>
                <c:pt idx="32">
                  <c:v>0.20675539519781208</c:v>
                </c:pt>
                <c:pt idx="33">
                  <c:v>0.25184018742051467</c:v>
                </c:pt>
                <c:pt idx="34">
                  <c:v>0.28538464893268034</c:v>
                </c:pt>
                <c:pt idx="35">
                  <c:v>0.29278334497052944</c:v>
                </c:pt>
                <c:pt idx="36">
                  <c:v>0.2762</c:v>
                </c:pt>
              </c:numCache>
            </c:numRef>
          </c:xVal>
          <c:yVal>
            <c:numRef>
              <c:f>Sheet1!$BA$5:$BA$41</c:f>
              <c:numCache>
                <c:formatCode>General</c:formatCode>
                <c:ptCount val="37"/>
                <c:pt idx="0">
                  <c:v>0</c:v>
                </c:pt>
                <c:pt idx="1">
                  <c:v>4.2404884986264386E-2</c:v>
                </c:pt>
                <c:pt idx="2">
                  <c:v>6.7788392407147541E-2</c:v>
                </c:pt>
                <c:pt idx="3">
                  <c:v>7.1699999999999986E-2</c:v>
                </c:pt>
                <c:pt idx="4">
                  <c:v>6.2035432210847903E-2</c:v>
                </c:pt>
                <c:pt idx="5">
                  <c:v>4.2040519038369514E-2</c:v>
                </c:pt>
                <c:pt idx="6">
                  <c:v>1.9935904795117775E-2</c:v>
                </c:pt>
                <c:pt idx="7">
                  <c:v>1.1623997719121685E-2</c:v>
                </c:pt>
                <c:pt idx="8">
                  <c:v>2.0828683976208198E-2</c:v>
                </c:pt>
                <c:pt idx="9">
                  <c:v>5.1540000000000002E-2</c:v>
                </c:pt>
                <c:pt idx="10">
                  <c:v>8.7244118839351514E-2</c:v>
                </c:pt>
                <c:pt idx="11">
                  <c:v>0.12967758166845536</c:v>
                </c:pt>
                <c:pt idx="12">
                  <c:v>0.16445822417866493</c:v>
                </c:pt>
                <c:pt idx="13">
                  <c:v>0.18055667524314312</c:v>
                </c:pt>
                <c:pt idx="14">
                  <c:v>0.17901634929770127</c:v>
                </c:pt>
                <c:pt idx="15">
                  <c:v>0.15104999999999999</c:v>
                </c:pt>
                <c:pt idx="16">
                  <c:v>0.10633406255995044</c:v>
                </c:pt>
                <c:pt idx="17">
                  <c:v>5.2077088482312392E-2</c:v>
                </c:pt>
                <c:pt idx="18">
                  <c:v>3.401012110826329E-17</c:v>
                </c:pt>
                <c:pt idx="19">
                  <c:v>-4.118934774259591E-2</c:v>
                </c:pt>
                <c:pt idx="20">
                  <c:v>-6.4060372844897753E-2</c:v>
                </c:pt>
                <c:pt idx="21">
                  <c:v>-6.9550000000000015E-2</c:v>
                </c:pt>
                <c:pt idx="22">
                  <c:v>-5.6089646821247417E-2</c:v>
                </c:pt>
                <c:pt idx="23">
                  <c:v>-3.7329345713187786E-2</c:v>
                </c:pt>
                <c:pt idx="24">
                  <c:v>-1.7502373410483503E-2</c:v>
                </c:pt>
                <c:pt idx="25">
                  <c:v>-1.1680379276368842E-2</c:v>
                </c:pt>
                <c:pt idx="26">
                  <c:v>-1.9282535803979029E-2</c:v>
                </c:pt>
                <c:pt idx="27">
                  <c:v>-4.5359999999999998E-2</c:v>
                </c:pt>
                <c:pt idx="28">
                  <c:v>-8.3167014741880971E-2</c:v>
                </c:pt>
                <c:pt idx="29">
                  <c:v>-0.12488514930244723</c:v>
                </c:pt>
                <c:pt idx="30">
                  <c:v>-0.15493194473703606</c:v>
                </c:pt>
                <c:pt idx="31">
                  <c:v>-0.17174716414727489</c:v>
                </c:pt>
                <c:pt idx="32">
                  <c:v>-0.17348837585439703</c:v>
                </c:pt>
                <c:pt idx="33">
                  <c:v>-0.14540000000000014</c:v>
                </c:pt>
                <c:pt idx="34">
                  <c:v>-0.10387151752800554</c:v>
                </c:pt>
                <c:pt idx="35">
                  <c:v>-5.1625603220378402E-2</c:v>
                </c:pt>
                <c:pt idx="36">
                  <c:v>-6.7677200649152168E-17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E2-47D6-83F8-800D5B9C3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3553567"/>
        <c:axId val="973537247"/>
      </c:scatterChart>
      <c:valAx>
        <c:axId val="973553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73537247"/>
        <c:crosses val="autoZero"/>
        <c:crossBetween val="midCat"/>
      </c:valAx>
      <c:valAx>
        <c:axId val="97353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73553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Sheet1!$BJ$4</c:f>
              <c:strCache>
                <c:ptCount val="1"/>
                <c:pt idx="0">
                  <c:v>I*sin(α)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Sheet1!$BI$5:$BI$41</c:f>
              <c:numCache>
                <c:formatCode>General</c:formatCode>
                <c:ptCount val="37"/>
                <c:pt idx="0">
                  <c:v>0.18990000000000001</c:v>
                </c:pt>
                <c:pt idx="1">
                  <c:v>0.14604698977171046</c:v>
                </c:pt>
                <c:pt idx="2">
                  <c:v>0.10853449770077243</c:v>
                </c:pt>
                <c:pt idx="3">
                  <c:v>6.96717437344581E-2</c:v>
                </c:pt>
                <c:pt idx="4">
                  <c:v>4.4828920811322594E-2</c:v>
                </c:pt>
                <c:pt idx="5">
                  <c:v>3.19658278297116E-2</c:v>
                </c:pt>
                <c:pt idx="6">
                  <c:v>2.7305000000000006E-2</c:v>
                </c:pt>
                <c:pt idx="7">
                  <c:v>2.3794341371166778E-2</c:v>
                </c:pt>
                <c:pt idx="8">
                  <c:v>1.7937856752993912E-2</c:v>
                </c:pt>
                <c:pt idx="9">
                  <c:v>8.655673833929401E-18</c:v>
                </c:pt>
                <c:pt idx="10">
                  <c:v>-3.2020723961781947E-2</c:v>
                </c:pt>
                <c:pt idx="11">
                  <c:v>-7.5723259732303053E-2</c:v>
                </c:pt>
                <c:pt idx="12">
                  <c:v>-0.12734999999999994</c:v>
                </c:pt>
                <c:pt idx="13">
                  <c:v>-0.17856639797092064</c:v>
                </c:pt>
                <c:pt idx="14">
                  <c:v>-0.21610113740386369</c:v>
                </c:pt>
                <c:pt idx="15">
                  <c:v>-0.24127467749434464</c:v>
                </c:pt>
                <c:pt idx="16">
                  <c:v>-0.24140703427989982</c:v>
                </c:pt>
                <c:pt idx="17">
                  <c:v>-0.22217262907955412</c:v>
                </c:pt>
                <c:pt idx="18">
                  <c:v>-0.18759999999999999</c:v>
                </c:pt>
                <c:pt idx="19">
                  <c:v>-0.14191079720905919</c:v>
                </c:pt>
                <c:pt idx="20">
                  <c:v>-0.10336618828644993</c:v>
                </c:pt>
                <c:pt idx="21">
                  <c:v>-6.4414969533486549E-2</c:v>
                </c:pt>
                <c:pt idx="22">
                  <c:v>-4.2369918148910675E-2</c:v>
                </c:pt>
                <c:pt idx="23">
                  <c:v>-2.9992469867973926E-2</c:v>
                </c:pt>
                <c:pt idx="24">
                  <c:v>-2.6585000000000025E-2</c:v>
                </c:pt>
                <c:pt idx="25">
                  <c:v>-2.3520725256506225E-2</c:v>
                </c:pt>
                <c:pt idx="26">
                  <c:v>-1.730230442273294E-2</c:v>
                </c:pt>
                <c:pt idx="27">
                  <c:v>-2.5305441336137543E-17</c:v>
                </c:pt>
                <c:pt idx="28">
                  <c:v>3.0214782914045814E-2</c:v>
                </c:pt>
                <c:pt idx="29">
                  <c:v>7.0763967654080911E-2</c:v>
                </c:pt>
                <c:pt idx="30">
                  <c:v>0.12225000000000003</c:v>
                </c:pt>
                <c:pt idx="31">
                  <c:v>0.17207424311308656</c:v>
                </c:pt>
                <c:pt idx="32">
                  <c:v>0.21273054185414014</c:v>
                </c:pt>
                <c:pt idx="33">
                  <c:v>0.23815698604072058</c:v>
                </c:pt>
                <c:pt idx="34">
                  <c:v>0.2406552801832712</c:v>
                </c:pt>
                <c:pt idx="35">
                  <c:v>0.22315743683256634</c:v>
                </c:pt>
                <c:pt idx="36">
                  <c:v>0.18859999999999999</c:v>
                </c:pt>
              </c:numCache>
            </c:numRef>
          </c:xVal>
          <c:yVal>
            <c:numRef>
              <c:f>Sheet1!$BJ$5:$BJ$41</c:f>
              <c:numCache>
                <c:formatCode>General</c:formatCode>
                <c:ptCount val="37"/>
                <c:pt idx="0">
                  <c:v>0</c:v>
                </c:pt>
                <c:pt idx="1">
                  <c:v>2.575202474800577E-2</c:v>
                </c:pt>
                <c:pt idx="2">
                  <c:v>3.9503326554114739E-2</c:v>
                </c:pt>
                <c:pt idx="3">
                  <c:v>4.0224999999999997E-2</c:v>
                </c:pt>
                <c:pt idx="4">
                  <c:v>3.7615930918856282E-2</c:v>
                </c:pt>
                <c:pt idx="5">
                  <c:v>3.8095390156306773E-2</c:v>
                </c:pt>
                <c:pt idx="6">
                  <c:v>4.7293647300668193E-2</c:v>
                </c:pt>
                <c:pt idx="7">
                  <c:v>6.5374415628075638E-2</c:v>
                </c:pt>
                <c:pt idx="8">
                  <c:v>0.10173064088616109</c:v>
                </c:pt>
                <c:pt idx="9">
                  <c:v>0.14130000000000001</c:v>
                </c:pt>
                <c:pt idx="10">
                  <c:v>0.18159854965545116</c:v>
                </c:pt>
                <c:pt idx="11">
                  <c:v>0.20804794624200013</c:v>
                </c:pt>
                <c:pt idx="12">
                  <c:v>0.22057667034389652</c:v>
                </c:pt>
                <c:pt idx="13">
                  <c:v>0.2128071462984521</c:v>
                </c:pt>
                <c:pt idx="14">
                  <c:v>0.18133038469257279</c:v>
                </c:pt>
                <c:pt idx="15">
                  <c:v>0.13929999999999998</c:v>
                </c:pt>
                <c:pt idx="16">
                  <c:v>8.7864974820364317E-2</c:v>
                </c:pt>
                <c:pt idx="17">
                  <c:v>3.9175028881659468E-2</c:v>
                </c:pt>
                <c:pt idx="18">
                  <c:v>2.2983785014085711E-17</c:v>
                </c:pt>
                <c:pt idx="19">
                  <c:v>-2.5022702401804681E-2</c:v>
                </c:pt>
                <c:pt idx="20">
                  <c:v>-3.7622215765823551E-2</c:v>
                </c:pt>
                <c:pt idx="21">
                  <c:v>-3.7190000000000008E-2</c:v>
                </c:pt>
                <c:pt idx="22">
                  <c:v>-3.5552582691762487E-2</c:v>
                </c:pt>
                <c:pt idx="23">
                  <c:v>-3.5743633715931505E-2</c:v>
                </c:pt>
                <c:pt idx="24">
                  <c:v>-4.6046570719218589E-2</c:v>
                </c:pt>
                <c:pt idx="25">
                  <c:v>-6.4622661531446926E-2</c:v>
                </c:pt>
                <c:pt idx="26">
                  <c:v>-9.8126244510136407E-2</c:v>
                </c:pt>
                <c:pt idx="27">
                  <c:v>-0.13769999999999999</c:v>
                </c:pt>
                <c:pt idx="28">
                  <c:v>-0.1713565490241242</c:v>
                </c:pt>
                <c:pt idx="29">
                  <c:v>-0.19442240324060442</c:v>
                </c:pt>
                <c:pt idx="30">
                  <c:v>-0.21174321122529524</c:v>
                </c:pt>
                <c:pt idx="31">
                  <c:v>-0.20507009742295043</c:v>
                </c:pt>
                <c:pt idx="32">
                  <c:v>-0.17850211920995204</c:v>
                </c:pt>
                <c:pt idx="33">
                  <c:v>-0.13750000000000012</c:v>
                </c:pt>
                <c:pt idx="34">
                  <c:v>-8.759135870570374E-2</c:v>
                </c:pt>
                <c:pt idx="35">
                  <c:v>-3.9348677059326424E-2</c:v>
                </c:pt>
                <c:pt idx="36">
                  <c:v>-4.6212599719153146E-17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4F-4488-A5BC-3F063CD44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3506047"/>
        <c:axId val="973507487"/>
      </c:scatterChart>
      <c:valAx>
        <c:axId val="97350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73507487"/>
        <c:crosses val="autoZero"/>
        <c:crossBetween val="midCat"/>
      </c:valAx>
      <c:valAx>
        <c:axId val="97350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73506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Sheet1!$BS$4</c:f>
              <c:strCache>
                <c:ptCount val="1"/>
                <c:pt idx="0">
                  <c:v>I*sin(α)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Sheet1!$BR$5:$BR$41</c:f>
              <c:numCache>
                <c:formatCode>General</c:formatCode>
                <c:ptCount val="37"/>
                <c:pt idx="0">
                  <c:v>0.2102</c:v>
                </c:pt>
                <c:pt idx="1">
                  <c:v>0.16416745242713507</c:v>
                </c:pt>
                <c:pt idx="2">
                  <c:v>0.11680379276368841</c:v>
                </c:pt>
                <c:pt idx="3">
                  <c:v>7.1239249715307928E-2</c:v>
                </c:pt>
                <c:pt idx="4">
                  <c:v>3.9964538597517085E-2</c:v>
                </c:pt>
                <c:pt idx="5">
                  <c:v>2.086488581042507E-2</c:v>
                </c:pt>
                <c:pt idx="6">
                  <c:v>1.6350000000000003E-2</c:v>
                </c:pt>
                <c:pt idx="7">
                  <c:v>1.6115989153505515E-2</c:v>
                </c:pt>
                <c:pt idx="8">
                  <c:v>1.3440368951420416E-2</c:v>
                </c:pt>
                <c:pt idx="9">
                  <c:v>7.4795313172171259E-18</c:v>
                </c:pt>
                <c:pt idx="10">
                  <c:v>-2.9120799394744209E-2</c:v>
                </c:pt>
                <c:pt idx="11">
                  <c:v>-7.3636936858016477E-2</c:v>
                </c:pt>
                <c:pt idx="12">
                  <c:v>-0.12884999999999994</c:v>
                </c:pt>
                <c:pt idx="13">
                  <c:v>-0.18332302628260103</c:v>
                </c:pt>
                <c:pt idx="14">
                  <c:v>-0.23011975071294097</c:v>
                </c:pt>
                <c:pt idx="15">
                  <c:v>-0.26127986432176514</c:v>
                </c:pt>
                <c:pt idx="16">
                  <c:v>-0.26621491946864784</c:v>
                </c:pt>
                <c:pt idx="17">
                  <c:v>-0.25171686166992036</c:v>
                </c:pt>
                <c:pt idx="18">
                  <c:v>-0.21049999999999999</c:v>
                </c:pt>
                <c:pt idx="19">
                  <c:v>-0.16091758684219482</c:v>
                </c:pt>
                <c:pt idx="20">
                  <c:v>-0.11351486859093773</c:v>
                </c:pt>
                <c:pt idx="21">
                  <c:v>-6.7039026506953384E-2</c:v>
                </c:pt>
                <c:pt idx="22">
                  <c:v>-3.6678207936536672E-2</c:v>
                </c:pt>
                <c:pt idx="23">
                  <c:v>-2.07106167841003E-2</c:v>
                </c:pt>
                <c:pt idx="24">
                  <c:v>-1.6800000000000016E-2</c:v>
                </c:pt>
                <c:pt idx="25">
                  <c:v>-1.7186512202114847E-2</c:v>
                </c:pt>
                <c:pt idx="26">
                  <c:v>-1.3659165655280739E-2</c:v>
                </c:pt>
                <c:pt idx="27">
                  <c:v>-2.3173683024596547E-17</c:v>
                </c:pt>
                <c:pt idx="28">
                  <c:v>2.8547760408443291E-2</c:v>
                </c:pt>
                <c:pt idx="29">
                  <c:v>7.0866573697078619E-2</c:v>
                </c:pt>
                <c:pt idx="30">
                  <c:v>0.12405000000000002</c:v>
                </c:pt>
                <c:pt idx="31">
                  <c:v>0.17985197319029367</c:v>
                </c:pt>
                <c:pt idx="32">
                  <c:v>0.22636613294165792</c:v>
                </c:pt>
                <c:pt idx="33">
                  <c:v>0.25668992968170751</c:v>
                </c:pt>
                <c:pt idx="34">
                  <c:v>0.26414759570291885</c:v>
                </c:pt>
                <c:pt idx="35">
                  <c:v>0.24964876538859473</c:v>
                </c:pt>
                <c:pt idx="36">
                  <c:v>0.21109999999999998</c:v>
                </c:pt>
              </c:numCache>
            </c:numRef>
          </c:xVal>
          <c:yVal>
            <c:numRef>
              <c:f>Sheet1!$BS$5:$BS$41</c:f>
              <c:numCache>
                <c:formatCode>General</c:formatCode>
                <c:ptCount val="37"/>
                <c:pt idx="0">
                  <c:v>0</c:v>
                </c:pt>
                <c:pt idx="1">
                  <c:v>2.8947151217077284E-2</c:v>
                </c:pt>
                <c:pt idx="2">
                  <c:v>4.2513103815380621E-2</c:v>
                </c:pt>
                <c:pt idx="3">
                  <c:v>4.1129999999999993E-2</c:v>
                </c:pt>
                <c:pt idx="4">
                  <c:v>3.3534229597346754E-2</c:v>
                </c:pt>
                <c:pt idx="5">
                  <c:v>2.486580262364203E-2</c:v>
                </c:pt>
                <c:pt idx="6">
                  <c:v>2.8319030703751143E-2</c:v>
                </c:pt>
                <c:pt idx="7">
                  <c:v>4.4278316291431995E-2</c:v>
                </c:pt>
                <c:pt idx="8">
                  <c:v>7.6224120083144914E-2</c:v>
                </c:pt>
                <c:pt idx="9">
                  <c:v>0.1221</c:v>
                </c:pt>
                <c:pt idx="10">
                  <c:v>0.16515226018014728</c:v>
                </c:pt>
                <c:pt idx="11">
                  <c:v>0.20231582125520611</c:v>
                </c:pt>
                <c:pt idx="12">
                  <c:v>0.22317474655524985</c:v>
                </c:pt>
                <c:pt idx="13">
                  <c:v>0.21847587517753253</c:v>
                </c:pt>
                <c:pt idx="14">
                  <c:v>0.19309339794983646</c:v>
                </c:pt>
                <c:pt idx="15">
                  <c:v>0.15084999999999996</c:v>
                </c:pt>
                <c:pt idx="16">
                  <c:v>9.6894306604161998E-2</c:v>
                </c:pt>
                <c:pt idx="17">
                  <c:v>4.4384474211667378E-2</c:v>
                </c:pt>
                <c:pt idx="18">
                  <c:v>2.5789374975826449E-17</c:v>
                </c:pt>
                <c:pt idx="19">
                  <c:v>-2.8374112230776443E-2</c:v>
                </c:pt>
                <c:pt idx="20">
                  <c:v>-4.1316033313740771E-2</c:v>
                </c:pt>
                <c:pt idx="21">
                  <c:v>-3.8705000000000003E-2</c:v>
                </c:pt>
                <c:pt idx="22">
                  <c:v>-3.0776670751791503E-2</c:v>
                </c:pt>
                <c:pt idx="23">
                  <c:v>-2.4681951957293467E-2</c:v>
                </c:pt>
                <c:pt idx="24">
                  <c:v>-2.9098453567157134E-2</c:v>
                </c:pt>
                <c:pt idx="25">
                  <c:v>-4.7219554194491899E-2</c:v>
                </c:pt>
                <c:pt idx="26">
                  <c:v>-7.7464977851940273E-2</c:v>
                </c:pt>
                <c:pt idx="27">
                  <c:v>-0.12609999999999999</c:v>
                </c:pt>
                <c:pt idx="28">
                  <c:v>-0.16190239459520703</c:v>
                </c:pt>
                <c:pt idx="29">
                  <c:v>-0.19470431102684019</c:v>
                </c:pt>
                <c:pt idx="30">
                  <c:v>-0.21486090267891919</c:v>
                </c:pt>
                <c:pt idx="31">
                  <c:v>-0.21433923518469009</c:v>
                </c:pt>
                <c:pt idx="32">
                  <c:v>-0.18994373866237244</c:v>
                </c:pt>
                <c:pt idx="33">
                  <c:v>-0.14820000000000014</c:v>
                </c:pt>
                <c:pt idx="34">
                  <c:v>-9.6141862288845456E-2</c:v>
                </c:pt>
                <c:pt idx="35">
                  <c:v>-4.4019813038566856E-2</c:v>
                </c:pt>
                <c:pt idx="36">
                  <c:v>-5.1725767766241932E-17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10-4C0B-A954-293E3E2E5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3473407"/>
        <c:axId val="973473887"/>
      </c:scatterChart>
      <c:valAx>
        <c:axId val="973473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73473887"/>
        <c:crosses val="autoZero"/>
        <c:crossBetween val="midCat"/>
      </c:valAx>
      <c:valAx>
        <c:axId val="97347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73473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Sheet1!$CB$4</c:f>
              <c:strCache>
                <c:ptCount val="1"/>
                <c:pt idx="0">
                  <c:v>I*sin(α)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Sheet1!$CA$5:$CA$41</c:f>
              <c:numCache>
                <c:formatCode>General</c:formatCode>
                <c:ptCount val="37"/>
                <c:pt idx="0">
                  <c:v>0.15619999999999998</c:v>
                </c:pt>
                <c:pt idx="1">
                  <c:v>0.1320627196789371</c:v>
                </c:pt>
                <c:pt idx="2">
                  <c:v>0.10496366574178598</c:v>
                </c:pt>
                <c:pt idx="3">
                  <c:v>8.4030444929204098E-2</c:v>
                </c:pt>
                <c:pt idx="4">
                  <c:v>6.8614600770166859E-2</c:v>
                </c:pt>
                <c:pt idx="5">
                  <c:v>6.1919730441104333E-2</c:v>
                </c:pt>
                <c:pt idx="6">
                  <c:v>5.4750000000000014E-2</c:v>
                </c:pt>
                <c:pt idx="7">
                  <c:v>4.5796497191307059E-2</c:v>
                </c:pt>
                <c:pt idx="8">
                  <c:v>2.7557965795741855E-2</c:v>
                </c:pt>
                <c:pt idx="9">
                  <c:v>1.1645036063906433E-17</c:v>
                </c:pt>
                <c:pt idx="10">
                  <c:v>-3.7056521114122928E-2</c:v>
                </c:pt>
                <c:pt idx="11">
                  <c:v>-8.034053166719958E-2</c:v>
                </c:pt>
                <c:pt idx="12">
                  <c:v>-0.12279999999999994</c:v>
                </c:pt>
                <c:pt idx="13">
                  <c:v>-0.16069690242163484</c:v>
                </c:pt>
                <c:pt idx="14">
                  <c:v>-0.18515294190185697</c:v>
                </c:pt>
                <c:pt idx="15">
                  <c:v>-0.19728058698209514</c:v>
                </c:pt>
                <c:pt idx="16">
                  <c:v>-0.19207317168863966</c:v>
                </c:pt>
                <c:pt idx="17">
                  <c:v>-0.17687147244099255</c:v>
                </c:pt>
                <c:pt idx="18">
                  <c:v>-0.15290000000000001</c:v>
                </c:pt>
                <c:pt idx="19">
                  <c:v>-0.12418425765483943</c:v>
                </c:pt>
                <c:pt idx="20">
                  <c:v>-9.7352155513420108E-2</c:v>
                </c:pt>
                <c:pt idx="21">
                  <c:v>-7.802888888097792E-2</c:v>
                </c:pt>
                <c:pt idx="22">
                  <c:v>-6.4952908332058149E-2</c:v>
                </c:pt>
                <c:pt idx="23">
                  <c:v>-5.8988618940933719E-2</c:v>
                </c:pt>
                <c:pt idx="24">
                  <c:v>-5.3000000000000047E-2</c:v>
                </c:pt>
                <c:pt idx="25">
                  <c:v>-4.3675972302687875E-2</c:v>
                </c:pt>
                <c:pt idx="26">
                  <c:v>-2.5873578472372618E-2</c:v>
                </c:pt>
                <c:pt idx="27">
                  <c:v>-3.2968744921590967E-17</c:v>
                </c:pt>
                <c:pt idx="28">
                  <c:v>3.4278150271451972E-2</c:v>
                </c:pt>
                <c:pt idx="29">
                  <c:v>7.3636936858016547E-2</c:v>
                </c:pt>
                <c:pt idx="30">
                  <c:v>0.11685000000000002</c:v>
                </c:pt>
                <c:pt idx="31">
                  <c:v>0.15426902632476941</c:v>
                </c:pt>
                <c:pt idx="32">
                  <c:v>0.18208876412938102</c:v>
                </c:pt>
                <c:pt idx="33">
                  <c:v>0.19295045996317287</c:v>
                </c:pt>
                <c:pt idx="34">
                  <c:v>0.190851571281618</c:v>
                </c:pt>
                <c:pt idx="35">
                  <c:v>0.18002285725063163</c:v>
                </c:pt>
                <c:pt idx="36">
                  <c:v>0.15369999999999998</c:v>
                </c:pt>
              </c:numCache>
            </c:numRef>
          </c:xVal>
          <c:yVal>
            <c:numRef>
              <c:f>Sheet1!$CB$5:$CB$41</c:f>
              <c:numCache>
                <c:formatCode>General</c:formatCode>
                <c:ptCount val="37"/>
                <c:pt idx="0">
                  <c:v>0</c:v>
                </c:pt>
                <c:pt idx="1">
                  <c:v>2.3286220625135357E-2</c:v>
                </c:pt>
                <c:pt idx="2">
                  <c:v>3.8203650009477196E-2</c:v>
                </c:pt>
                <c:pt idx="3">
                  <c:v>4.8514999999999996E-2</c:v>
                </c:pt>
                <c:pt idx="4">
                  <c:v>5.7574486199623319E-2</c:v>
                </c:pt>
                <c:pt idx="5">
                  <c:v>7.3793061205651156E-2</c:v>
                </c:pt>
                <c:pt idx="6">
                  <c:v>9.482978171439603E-2</c:v>
                </c:pt>
                <c:pt idx="7">
                  <c:v>0.12582484192323315</c:v>
                </c:pt>
                <c:pt idx="8">
                  <c:v>0.1562889904030374</c:v>
                </c:pt>
                <c:pt idx="9">
                  <c:v>0.19009999999999999</c:v>
                </c:pt>
                <c:pt idx="10">
                  <c:v>0.21015797449280521</c:v>
                </c:pt>
                <c:pt idx="11">
                  <c:v>0.22073379662260989</c:v>
                </c:pt>
                <c:pt idx="12">
                  <c:v>0.21269583916945814</c:v>
                </c:pt>
                <c:pt idx="13">
                  <c:v>0.1915111107797445</c:v>
                </c:pt>
                <c:pt idx="14">
                  <c:v>0.1553617652612366</c:v>
                </c:pt>
                <c:pt idx="15">
                  <c:v>0.11389999999999999</c:v>
                </c:pt>
                <c:pt idx="16">
                  <c:v>6.9908917295766718E-2</c:v>
                </c:pt>
                <c:pt idx="17">
                  <c:v>3.1187212708980675E-2</c:v>
                </c:pt>
                <c:pt idx="18">
                  <c:v>1.8732519875552802E-17</c:v>
                </c:pt>
                <c:pt idx="19">
                  <c:v>-2.1897035203799931E-2</c:v>
                </c:pt>
                <c:pt idx="20">
                  <c:v>-3.5433286848539275E-2</c:v>
                </c:pt>
                <c:pt idx="21">
                  <c:v>-4.5050000000000007E-2</c:v>
                </c:pt>
                <c:pt idx="22">
                  <c:v>-5.4501961425321668E-2</c:v>
                </c:pt>
                <c:pt idx="23">
                  <c:v>-7.0299898545028591E-2</c:v>
                </c:pt>
                <c:pt idx="24">
                  <c:v>-9.1798692801150467E-2</c:v>
                </c:pt>
                <c:pt idx="25">
                  <c:v>-0.11999874767436051</c:v>
                </c:pt>
                <c:pt idx="26">
                  <c:v>-0.146736355198819</c:v>
                </c:pt>
                <c:pt idx="27">
                  <c:v>-0.1794</c:v>
                </c:pt>
                <c:pt idx="28">
                  <c:v>-0.19440105044460987</c:v>
                </c:pt>
                <c:pt idx="29">
                  <c:v>-0.20231582125520609</c:v>
                </c:pt>
                <c:pt idx="30">
                  <c:v>-0.20239013686442328</c:v>
                </c:pt>
                <c:pt idx="31">
                  <c:v>-0.18385066634855474</c:v>
                </c:pt>
                <c:pt idx="32">
                  <c:v>-0.15279061482249046</c:v>
                </c:pt>
                <c:pt idx="33">
                  <c:v>-0.1114000000000001</c:v>
                </c:pt>
                <c:pt idx="34">
                  <c:v>-6.9464291109443299E-2</c:v>
                </c:pt>
                <c:pt idx="35">
                  <c:v>-3.1742886877514878E-2</c:v>
                </c:pt>
                <c:pt idx="36">
                  <c:v>-3.7661063503890975E-17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1D-4D78-9CE4-9624131BE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3517087"/>
        <c:axId val="973500767"/>
      </c:scatterChart>
      <c:valAx>
        <c:axId val="973517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73500767"/>
        <c:crosses val="autoZero"/>
        <c:crossBetween val="midCat"/>
      </c:valAx>
      <c:valAx>
        <c:axId val="97350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73517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Sheet2!$E$4</c:f>
              <c:strCache>
                <c:ptCount val="1"/>
                <c:pt idx="0">
                  <c:v>I (mV)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Sheet2!$C$5:$C$41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Sheet2!$E$5:$E$41</c:f>
              <c:numCache>
                <c:formatCode>0.0</c:formatCode>
                <c:ptCount val="37"/>
                <c:pt idx="0">
                  <c:v>225.4</c:v>
                </c:pt>
                <c:pt idx="1">
                  <c:v>227.6</c:v>
                </c:pt>
                <c:pt idx="2">
                  <c:v>220.3</c:v>
                </c:pt>
                <c:pt idx="3">
                  <c:v>204.2</c:v>
                </c:pt>
                <c:pt idx="4">
                  <c:v>192.7</c:v>
                </c:pt>
                <c:pt idx="5">
                  <c:v>178.6</c:v>
                </c:pt>
                <c:pt idx="6">
                  <c:v>153.69999999999999</c:v>
                </c:pt>
                <c:pt idx="7">
                  <c:v>138.5</c:v>
                </c:pt>
                <c:pt idx="8">
                  <c:v>131.19999999999999</c:v>
                </c:pt>
                <c:pt idx="9">
                  <c:v>122.8</c:v>
                </c:pt>
                <c:pt idx="10">
                  <c:v>117</c:v>
                </c:pt>
                <c:pt idx="11">
                  <c:v>124.5</c:v>
                </c:pt>
                <c:pt idx="12">
                  <c:v>139.19999999999999</c:v>
                </c:pt>
                <c:pt idx="13">
                  <c:v>156.69999999999999</c:v>
                </c:pt>
                <c:pt idx="14">
                  <c:v>172.8</c:v>
                </c:pt>
                <c:pt idx="15">
                  <c:v>200.8</c:v>
                </c:pt>
                <c:pt idx="16">
                  <c:v>206.7</c:v>
                </c:pt>
                <c:pt idx="17">
                  <c:v>217.2</c:v>
                </c:pt>
                <c:pt idx="18">
                  <c:v>221.6</c:v>
                </c:pt>
                <c:pt idx="19">
                  <c:v>222.3</c:v>
                </c:pt>
                <c:pt idx="20">
                  <c:v>218.4</c:v>
                </c:pt>
                <c:pt idx="21">
                  <c:v>204.3</c:v>
                </c:pt>
                <c:pt idx="22">
                  <c:v>193.8</c:v>
                </c:pt>
                <c:pt idx="23">
                  <c:v>168.9</c:v>
                </c:pt>
                <c:pt idx="24">
                  <c:v>149.4</c:v>
                </c:pt>
                <c:pt idx="25">
                  <c:v>136.19999999999999</c:v>
                </c:pt>
                <c:pt idx="26">
                  <c:v>129.1</c:v>
                </c:pt>
                <c:pt idx="27">
                  <c:v>115.3</c:v>
                </c:pt>
                <c:pt idx="28">
                  <c:v>113.2</c:v>
                </c:pt>
                <c:pt idx="29">
                  <c:v>119.4</c:v>
                </c:pt>
                <c:pt idx="30">
                  <c:v>133.69999999999999</c:v>
                </c:pt>
                <c:pt idx="31">
                  <c:v>144.69999999999999</c:v>
                </c:pt>
                <c:pt idx="32">
                  <c:v>167.6</c:v>
                </c:pt>
                <c:pt idx="33">
                  <c:v>189.4</c:v>
                </c:pt>
                <c:pt idx="34">
                  <c:v>206.1</c:v>
                </c:pt>
                <c:pt idx="35">
                  <c:v>219.3</c:v>
                </c:pt>
                <c:pt idx="36">
                  <c:v>226.1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DF-4E2C-A1D0-E1F893565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857712"/>
        <c:axId val="322857232"/>
      </c:scatterChart>
      <c:valAx>
        <c:axId val="322857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22857232"/>
        <c:crosses val="autoZero"/>
        <c:crossBetween val="midCat"/>
      </c:valAx>
      <c:valAx>
        <c:axId val="32285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22857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Sheet2!$K$4</c:f>
              <c:strCache>
                <c:ptCount val="1"/>
                <c:pt idx="0">
                  <c:v>I (mV)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Sheet2!$I$5:$I$41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Sheet2!$K$5:$K$41</c:f>
              <c:numCache>
                <c:formatCode>0.0</c:formatCode>
                <c:ptCount val="37"/>
                <c:pt idx="0">
                  <c:v>170.8</c:v>
                </c:pt>
                <c:pt idx="1">
                  <c:v>141.19999999999999</c:v>
                </c:pt>
                <c:pt idx="2">
                  <c:v>117.4</c:v>
                </c:pt>
                <c:pt idx="3" formatCode="0.00">
                  <c:v>99.15</c:v>
                </c:pt>
                <c:pt idx="4" formatCode="0.00">
                  <c:v>88.13</c:v>
                </c:pt>
                <c:pt idx="5" formatCode="0.00">
                  <c:v>91.82</c:v>
                </c:pt>
                <c:pt idx="6" formatCode="0.00">
                  <c:v>99.02</c:v>
                </c:pt>
                <c:pt idx="7">
                  <c:v>115.2</c:v>
                </c:pt>
                <c:pt idx="8">
                  <c:v>138.19999999999999</c:v>
                </c:pt>
                <c:pt idx="9">
                  <c:v>168.3</c:v>
                </c:pt>
                <c:pt idx="10">
                  <c:v>198.7</c:v>
                </c:pt>
                <c:pt idx="11">
                  <c:v>223.6</c:v>
                </c:pt>
                <c:pt idx="12">
                  <c:v>244.4</c:v>
                </c:pt>
                <c:pt idx="13">
                  <c:v>257.8</c:v>
                </c:pt>
                <c:pt idx="14">
                  <c:v>259.8</c:v>
                </c:pt>
                <c:pt idx="15">
                  <c:v>250</c:v>
                </c:pt>
                <c:pt idx="16">
                  <c:v>233.3</c:v>
                </c:pt>
                <c:pt idx="17">
                  <c:v>205.3</c:v>
                </c:pt>
                <c:pt idx="18">
                  <c:v>178.2</c:v>
                </c:pt>
                <c:pt idx="19">
                  <c:v>148.30000000000001</c:v>
                </c:pt>
                <c:pt idx="20">
                  <c:v>127.1</c:v>
                </c:pt>
                <c:pt idx="21">
                  <c:v>105.6</c:v>
                </c:pt>
                <c:pt idx="22" formatCode="0.00">
                  <c:v>92.56</c:v>
                </c:pt>
                <c:pt idx="23" formatCode="0.00">
                  <c:v>88.09</c:v>
                </c:pt>
                <c:pt idx="24" formatCode="0.00">
                  <c:v>96.9</c:v>
                </c:pt>
                <c:pt idx="25">
                  <c:v>115.4</c:v>
                </c:pt>
                <c:pt idx="26">
                  <c:v>137.19999999999999</c:v>
                </c:pt>
                <c:pt idx="27">
                  <c:v>161.4</c:v>
                </c:pt>
                <c:pt idx="28">
                  <c:v>190.3</c:v>
                </c:pt>
                <c:pt idx="29">
                  <c:v>209.5</c:v>
                </c:pt>
                <c:pt idx="30">
                  <c:v>230.1</c:v>
                </c:pt>
                <c:pt idx="31">
                  <c:v>242.5</c:v>
                </c:pt>
                <c:pt idx="32">
                  <c:v>247.3</c:v>
                </c:pt>
                <c:pt idx="33">
                  <c:v>241.2</c:v>
                </c:pt>
                <c:pt idx="34">
                  <c:v>226.5</c:v>
                </c:pt>
                <c:pt idx="35">
                  <c:v>203.8</c:v>
                </c:pt>
                <c:pt idx="36">
                  <c:v>180.2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44-48D3-86B2-FC08B120D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872592"/>
        <c:axId val="322868752"/>
      </c:scatterChart>
      <c:valAx>
        <c:axId val="322872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22868752"/>
        <c:crosses val="autoZero"/>
        <c:crossBetween val="midCat"/>
      </c:valAx>
      <c:valAx>
        <c:axId val="32286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22872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Sheet2!$Q$4</c:f>
              <c:strCache>
                <c:ptCount val="1"/>
                <c:pt idx="0">
                  <c:v>I (mV)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Sheet2!$O$5:$O$41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Sheet2!$Q$5:$Q$41</c:f>
              <c:numCache>
                <c:formatCode>0.0</c:formatCode>
                <c:ptCount val="37"/>
                <c:pt idx="0">
                  <c:v>240.5</c:v>
                </c:pt>
                <c:pt idx="1">
                  <c:v>197.8</c:v>
                </c:pt>
                <c:pt idx="2">
                  <c:v>151.6</c:v>
                </c:pt>
                <c:pt idx="3">
                  <c:v>106.8</c:v>
                </c:pt>
                <c:pt idx="4" formatCode="0.00">
                  <c:v>66.75</c:v>
                </c:pt>
                <c:pt idx="5" formatCode="0.00">
                  <c:v>42.57</c:v>
                </c:pt>
                <c:pt idx="6" formatCode="0.00">
                  <c:v>34.200000000000003</c:v>
                </c:pt>
                <c:pt idx="7" formatCode="0.00">
                  <c:v>41.47</c:v>
                </c:pt>
                <c:pt idx="8" formatCode="0.00">
                  <c:v>63.6</c:v>
                </c:pt>
                <c:pt idx="9">
                  <c:v>104.9</c:v>
                </c:pt>
                <c:pt idx="10">
                  <c:v>150.9</c:v>
                </c:pt>
                <c:pt idx="11">
                  <c:v>199.7</c:v>
                </c:pt>
                <c:pt idx="12">
                  <c:v>243.3</c:v>
                </c:pt>
                <c:pt idx="13">
                  <c:v>279.60000000000002</c:v>
                </c:pt>
                <c:pt idx="14">
                  <c:v>298.7</c:v>
                </c:pt>
                <c:pt idx="15">
                  <c:v>309.10000000000002</c:v>
                </c:pt>
                <c:pt idx="16">
                  <c:v>297.60000000000002</c:v>
                </c:pt>
                <c:pt idx="17">
                  <c:v>275.5</c:v>
                </c:pt>
                <c:pt idx="18">
                  <c:v>233.2</c:v>
                </c:pt>
                <c:pt idx="19">
                  <c:v>190.9</c:v>
                </c:pt>
                <c:pt idx="20">
                  <c:v>141.69999999999999</c:v>
                </c:pt>
                <c:pt idx="21">
                  <c:v>100.5</c:v>
                </c:pt>
                <c:pt idx="22" formatCode="0.00">
                  <c:v>62.04</c:v>
                </c:pt>
                <c:pt idx="23" formatCode="0.00">
                  <c:v>39.79</c:v>
                </c:pt>
                <c:pt idx="24" formatCode="0.00">
                  <c:v>32.880000000000003</c:v>
                </c:pt>
                <c:pt idx="25" formatCode="0.00">
                  <c:v>42.14</c:v>
                </c:pt>
                <c:pt idx="26" formatCode="0.00">
                  <c:v>63.33</c:v>
                </c:pt>
                <c:pt idx="27">
                  <c:v>104.2</c:v>
                </c:pt>
                <c:pt idx="28">
                  <c:v>146.5</c:v>
                </c:pt>
                <c:pt idx="29">
                  <c:v>190.7</c:v>
                </c:pt>
                <c:pt idx="30">
                  <c:v>231.5</c:v>
                </c:pt>
                <c:pt idx="31">
                  <c:v>268.7</c:v>
                </c:pt>
                <c:pt idx="32">
                  <c:v>289.2</c:v>
                </c:pt>
                <c:pt idx="33">
                  <c:v>300</c:v>
                </c:pt>
                <c:pt idx="34">
                  <c:v>292.3</c:v>
                </c:pt>
                <c:pt idx="35">
                  <c:v>273</c:v>
                </c:pt>
                <c:pt idx="36">
                  <c:v>236.3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D6-4E63-8CF6-08E2DA1A8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857712"/>
        <c:axId val="322871152"/>
      </c:scatterChart>
      <c:valAx>
        <c:axId val="322857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22871152"/>
        <c:crosses val="autoZero"/>
        <c:crossBetween val="midCat"/>
      </c:valAx>
      <c:valAx>
        <c:axId val="32287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22857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Sheet2!$W$4</c:f>
              <c:strCache>
                <c:ptCount val="1"/>
                <c:pt idx="0">
                  <c:v>I (mV)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Sheet2!$U$5:$U$41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Sheet2!$W$5:$W$41</c:f>
              <c:numCache>
                <c:formatCode>0.0</c:formatCode>
                <c:ptCount val="37"/>
                <c:pt idx="0">
                  <c:v>301.10000000000002</c:v>
                </c:pt>
                <c:pt idx="1">
                  <c:v>270</c:v>
                </c:pt>
                <c:pt idx="2">
                  <c:v>221.4</c:v>
                </c:pt>
                <c:pt idx="3">
                  <c:v>169.8</c:v>
                </c:pt>
                <c:pt idx="4">
                  <c:v>115.5</c:v>
                </c:pt>
                <c:pt idx="5" formatCode="0.00">
                  <c:v>62.76</c:v>
                </c:pt>
                <c:pt idx="6" formatCode="0.00">
                  <c:v>28.33</c:v>
                </c:pt>
                <c:pt idx="7" formatCode="0.00">
                  <c:v>13.23</c:v>
                </c:pt>
                <c:pt idx="8" formatCode="0.00">
                  <c:v>16.3</c:v>
                </c:pt>
                <c:pt idx="9" formatCode="0.00">
                  <c:v>42.11</c:v>
                </c:pt>
                <c:pt idx="10" formatCode="0.00">
                  <c:v>80.03</c:v>
                </c:pt>
                <c:pt idx="11">
                  <c:v>134.4</c:v>
                </c:pt>
                <c:pt idx="12">
                  <c:v>188.2</c:v>
                </c:pt>
                <c:pt idx="13">
                  <c:v>237.7</c:v>
                </c:pt>
                <c:pt idx="14">
                  <c:v>281.60000000000002</c:v>
                </c:pt>
                <c:pt idx="15">
                  <c:v>315.3</c:v>
                </c:pt>
                <c:pt idx="16">
                  <c:v>325.60000000000002</c:v>
                </c:pt>
                <c:pt idx="17">
                  <c:v>313.39999999999998</c:v>
                </c:pt>
                <c:pt idx="18">
                  <c:v>279.89999999999998</c:v>
                </c:pt>
                <c:pt idx="19">
                  <c:v>245</c:v>
                </c:pt>
                <c:pt idx="20">
                  <c:v>200.5</c:v>
                </c:pt>
                <c:pt idx="21">
                  <c:v>148.30000000000001</c:v>
                </c:pt>
                <c:pt idx="22" formatCode="0.00">
                  <c:v>98.7</c:v>
                </c:pt>
                <c:pt idx="23" formatCode="0.00">
                  <c:v>55.23</c:v>
                </c:pt>
                <c:pt idx="24" formatCode="0.00">
                  <c:v>24.34</c:v>
                </c:pt>
                <c:pt idx="25" formatCode="0.00">
                  <c:v>11.77</c:v>
                </c:pt>
                <c:pt idx="26" formatCode="0.00">
                  <c:v>16.510000000000002</c:v>
                </c:pt>
                <c:pt idx="27" formatCode="0.00">
                  <c:v>41.21</c:v>
                </c:pt>
                <c:pt idx="28" formatCode="0.00">
                  <c:v>75.599999999999994</c:v>
                </c:pt>
                <c:pt idx="29">
                  <c:v>124.6</c:v>
                </c:pt>
                <c:pt idx="30">
                  <c:v>169.6</c:v>
                </c:pt>
                <c:pt idx="31">
                  <c:v>220.1</c:v>
                </c:pt>
                <c:pt idx="32">
                  <c:v>271</c:v>
                </c:pt>
                <c:pt idx="33">
                  <c:v>291.39999999999998</c:v>
                </c:pt>
                <c:pt idx="34">
                  <c:v>313.89999999999998</c:v>
                </c:pt>
                <c:pt idx="35">
                  <c:v>310.5</c:v>
                </c:pt>
                <c:pt idx="36">
                  <c:v>288.7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FE-432C-895C-3BBA1C3AE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885552"/>
        <c:axId val="322880752"/>
      </c:scatterChart>
      <c:valAx>
        <c:axId val="32288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22880752"/>
        <c:crosses val="autoZero"/>
        <c:crossBetween val="midCat"/>
      </c:valAx>
      <c:valAx>
        <c:axId val="32288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22885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Sheet2!$AC$4</c:f>
              <c:strCache>
                <c:ptCount val="1"/>
                <c:pt idx="0">
                  <c:v>I (mV)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Sheet2!$AA$5:$AA$41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Sheet2!$AC$5:$AC$41</c:f>
              <c:numCache>
                <c:formatCode>0.0</c:formatCode>
                <c:ptCount val="37"/>
                <c:pt idx="0">
                  <c:v>220.9</c:v>
                </c:pt>
                <c:pt idx="1">
                  <c:v>242.6</c:v>
                </c:pt>
                <c:pt idx="2">
                  <c:v>243.3</c:v>
                </c:pt>
                <c:pt idx="3">
                  <c:v>229.5</c:v>
                </c:pt>
                <c:pt idx="4">
                  <c:v>210</c:v>
                </c:pt>
                <c:pt idx="5">
                  <c:v>183</c:v>
                </c:pt>
                <c:pt idx="6">
                  <c:v>156.4</c:v>
                </c:pt>
                <c:pt idx="7">
                  <c:v>134.30000000000001</c:v>
                </c:pt>
                <c:pt idx="8">
                  <c:v>113.3</c:v>
                </c:pt>
                <c:pt idx="9" formatCode="0.00">
                  <c:v>99.27</c:v>
                </c:pt>
                <c:pt idx="10" formatCode="0.00">
                  <c:v>94.88</c:v>
                </c:pt>
                <c:pt idx="11">
                  <c:v>101.8</c:v>
                </c:pt>
                <c:pt idx="12">
                  <c:v>115.9</c:v>
                </c:pt>
                <c:pt idx="13">
                  <c:v>134.4</c:v>
                </c:pt>
                <c:pt idx="14">
                  <c:v>157.69999999999999</c:v>
                </c:pt>
                <c:pt idx="15">
                  <c:v>183.9</c:v>
                </c:pt>
                <c:pt idx="16">
                  <c:v>204.3</c:v>
                </c:pt>
                <c:pt idx="17">
                  <c:v>209.8</c:v>
                </c:pt>
                <c:pt idx="18">
                  <c:v>222.7</c:v>
                </c:pt>
                <c:pt idx="19">
                  <c:v>227.5</c:v>
                </c:pt>
                <c:pt idx="20">
                  <c:v>223.1</c:v>
                </c:pt>
                <c:pt idx="21">
                  <c:v>210.6</c:v>
                </c:pt>
                <c:pt idx="22">
                  <c:v>195</c:v>
                </c:pt>
                <c:pt idx="23">
                  <c:v>171.7</c:v>
                </c:pt>
                <c:pt idx="24">
                  <c:v>146.1</c:v>
                </c:pt>
                <c:pt idx="25">
                  <c:v>125</c:v>
                </c:pt>
                <c:pt idx="26">
                  <c:v>106.5</c:v>
                </c:pt>
                <c:pt idx="27" formatCode="0.00">
                  <c:v>92.76</c:v>
                </c:pt>
                <c:pt idx="28" formatCode="0.00">
                  <c:v>88.57</c:v>
                </c:pt>
                <c:pt idx="29" formatCode="0.00">
                  <c:v>92.3</c:v>
                </c:pt>
                <c:pt idx="30">
                  <c:v>104.3</c:v>
                </c:pt>
                <c:pt idx="31">
                  <c:v>123.5</c:v>
                </c:pt>
                <c:pt idx="32">
                  <c:v>143.30000000000001</c:v>
                </c:pt>
                <c:pt idx="33">
                  <c:v>168.6</c:v>
                </c:pt>
                <c:pt idx="34">
                  <c:v>193.7</c:v>
                </c:pt>
                <c:pt idx="35">
                  <c:v>208</c:v>
                </c:pt>
                <c:pt idx="36">
                  <c:v>222.7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9B-4E1B-AC00-B9116F91E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606192"/>
        <c:axId val="716606672"/>
      </c:scatterChart>
      <c:valAx>
        <c:axId val="71660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16606672"/>
        <c:crosses val="autoZero"/>
        <c:crossBetween val="midCat"/>
      </c:valAx>
      <c:valAx>
        <c:axId val="71660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16606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Sheet2!$AI$4</c:f>
              <c:strCache>
                <c:ptCount val="1"/>
                <c:pt idx="0">
                  <c:v>I (mV)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Sheet2!$AG$5:$AG$41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Sheet2!$AI$5:$AI$41</c:f>
              <c:numCache>
                <c:formatCode>0.0</c:formatCode>
                <c:ptCount val="37"/>
                <c:pt idx="0">
                  <c:v>279.7</c:v>
                </c:pt>
                <c:pt idx="1">
                  <c:v>244.2</c:v>
                </c:pt>
                <c:pt idx="2">
                  <c:v>198.2</c:v>
                </c:pt>
                <c:pt idx="3">
                  <c:v>143.4</c:v>
                </c:pt>
                <c:pt idx="4" formatCode="0.00">
                  <c:v>96.51</c:v>
                </c:pt>
                <c:pt idx="5" formatCode="0.00">
                  <c:v>54.88</c:v>
                </c:pt>
                <c:pt idx="6" formatCode="0.00">
                  <c:v>23.02</c:v>
                </c:pt>
                <c:pt idx="7" formatCode="0.00">
                  <c:v>12.37</c:v>
                </c:pt>
                <c:pt idx="8" formatCode="0.00">
                  <c:v>21.15</c:v>
                </c:pt>
                <c:pt idx="9" formatCode="0.00">
                  <c:v>51.54</c:v>
                </c:pt>
                <c:pt idx="10" formatCode="0.00">
                  <c:v>88.59</c:v>
                </c:pt>
                <c:pt idx="11">
                  <c:v>138</c:v>
                </c:pt>
                <c:pt idx="12">
                  <c:v>189.9</c:v>
                </c:pt>
                <c:pt idx="13">
                  <c:v>235.7</c:v>
                </c:pt>
                <c:pt idx="14">
                  <c:v>278.5</c:v>
                </c:pt>
                <c:pt idx="15">
                  <c:v>302.10000000000002</c:v>
                </c:pt>
                <c:pt idx="16">
                  <c:v>310.89999999999998</c:v>
                </c:pt>
                <c:pt idx="17">
                  <c:v>299.89999999999998</c:v>
                </c:pt>
                <c:pt idx="18">
                  <c:v>277.60000000000002</c:v>
                </c:pt>
                <c:pt idx="19">
                  <c:v>237.2</c:v>
                </c:pt>
                <c:pt idx="20">
                  <c:v>187.3</c:v>
                </c:pt>
                <c:pt idx="21">
                  <c:v>139.1</c:v>
                </c:pt>
                <c:pt idx="22" formatCode="0.00">
                  <c:v>87.26</c:v>
                </c:pt>
                <c:pt idx="23" formatCode="0.00">
                  <c:v>48.73</c:v>
                </c:pt>
                <c:pt idx="24" formatCode="0.00">
                  <c:v>20.21</c:v>
                </c:pt>
                <c:pt idx="25" formatCode="0.00">
                  <c:v>12.43</c:v>
                </c:pt>
                <c:pt idx="26" formatCode="0.00">
                  <c:v>19.579999999999998</c:v>
                </c:pt>
                <c:pt idx="27" formatCode="0.00">
                  <c:v>45.36</c:v>
                </c:pt>
                <c:pt idx="28" formatCode="0.00">
                  <c:v>84.45</c:v>
                </c:pt>
                <c:pt idx="29">
                  <c:v>132.9</c:v>
                </c:pt>
                <c:pt idx="30">
                  <c:v>178.9</c:v>
                </c:pt>
                <c:pt idx="31">
                  <c:v>224.2</c:v>
                </c:pt>
                <c:pt idx="32">
                  <c:v>269.89999999999998</c:v>
                </c:pt>
                <c:pt idx="33">
                  <c:v>290.8</c:v>
                </c:pt>
                <c:pt idx="34">
                  <c:v>303.7</c:v>
                </c:pt>
                <c:pt idx="35">
                  <c:v>297.3</c:v>
                </c:pt>
                <c:pt idx="36">
                  <c:v>276.2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64-449C-AAA3-94B6669E1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569712"/>
        <c:axId val="716565392"/>
      </c:scatterChart>
      <c:valAx>
        <c:axId val="71656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16565392"/>
        <c:crosses val="autoZero"/>
        <c:crossBetween val="midCat"/>
      </c:valAx>
      <c:valAx>
        <c:axId val="71656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16569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Sheet2!$AO$4</c:f>
              <c:strCache>
                <c:ptCount val="1"/>
                <c:pt idx="0">
                  <c:v>I (mV)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Sheet2!$AM$5:$AM$41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Sheet2!$AO$5:$AO$41</c:f>
              <c:numCache>
                <c:formatCode>0.0</c:formatCode>
                <c:ptCount val="37"/>
                <c:pt idx="0">
                  <c:v>189.9</c:v>
                </c:pt>
                <c:pt idx="1">
                  <c:v>148.30000000000001</c:v>
                </c:pt>
                <c:pt idx="2">
                  <c:v>115.5</c:v>
                </c:pt>
                <c:pt idx="3" formatCode="0.00">
                  <c:v>80.45</c:v>
                </c:pt>
                <c:pt idx="4" formatCode="0.00">
                  <c:v>58.52</c:v>
                </c:pt>
                <c:pt idx="5" formatCode="0.00">
                  <c:v>49.73</c:v>
                </c:pt>
                <c:pt idx="6" formatCode="0.00">
                  <c:v>54.61</c:v>
                </c:pt>
                <c:pt idx="7" formatCode="0.00">
                  <c:v>69.569999999999993</c:v>
                </c:pt>
                <c:pt idx="8">
                  <c:v>103.3</c:v>
                </c:pt>
                <c:pt idx="9">
                  <c:v>141.30000000000001</c:v>
                </c:pt>
                <c:pt idx="10">
                  <c:v>184.4</c:v>
                </c:pt>
                <c:pt idx="11">
                  <c:v>221.4</c:v>
                </c:pt>
                <c:pt idx="12">
                  <c:v>254.7</c:v>
                </c:pt>
                <c:pt idx="13">
                  <c:v>277.8</c:v>
                </c:pt>
                <c:pt idx="14">
                  <c:v>282.10000000000002</c:v>
                </c:pt>
                <c:pt idx="15">
                  <c:v>278.60000000000002</c:v>
                </c:pt>
                <c:pt idx="16">
                  <c:v>256.89999999999998</c:v>
                </c:pt>
                <c:pt idx="17">
                  <c:v>225.6</c:v>
                </c:pt>
                <c:pt idx="18">
                  <c:v>187.6</c:v>
                </c:pt>
                <c:pt idx="19">
                  <c:v>144.1</c:v>
                </c:pt>
                <c:pt idx="20">
                  <c:v>110</c:v>
                </c:pt>
                <c:pt idx="21" formatCode="0.00">
                  <c:v>74.38</c:v>
                </c:pt>
                <c:pt idx="22" formatCode="0.00">
                  <c:v>55.31</c:v>
                </c:pt>
                <c:pt idx="23" formatCode="0.00">
                  <c:v>46.66</c:v>
                </c:pt>
                <c:pt idx="24" formatCode="0.00">
                  <c:v>53.17</c:v>
                </c:pt>
                <c:pt idx="25" formatCode="0.00">
                  <c:v>68.77</c:v>
                </c:pt>
                <c:pt idx="26" formatCode="0.00">
                  <c:v>99.64</c:v>
                </c:pt>
                <c:pt idx="27">
                  <c:v>137.69999999999999</c:v>
                </c:pt>
                <c:pt idx="28">
                  <c:v>174</c:v>
                </c:pt>
                <c:pt idx="29">
                  <c:v>206.9</c:v>
                </c:pt>
                <c:pt idx="30">
                  <c:v>244.5</c:v>
                </c:pt>
                <c:pt idx="31">
                  <c:v>267.7</c:v>
                </c:pt>
                <c:pt idx="32">
                  <c:v>277.7</c:v>
                </c:pt>
                <c:pt idx="33">
                  <c:v>275</c:v>
                </c:pt>
                <c:pt idx="34">
                  <c:v>256.10000000000002</c:v>
                </c:pt>
                <c:pt idx="35">
                  <c:v>226.6</c:v>
                </c:pt>
                <c:pt idx="36">
                  <c:v>188.6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1F-4A16-BEFF-C9EB582A6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584112"/>
        <c:axId val="716584592"/>
      </c:scatterChart>
      <c:valAx>
        <c:axId val="716584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16584592"/>
        <c:crosses val="autoZero"/>
        <c:crossBetween val="midCat"/>
      </c:valAx>
      <c:valAx>
        <c:axId val="71658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16584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Sheet2!$AU$4</c:f>
              <c:strCache>
                <c:ptCount val="1"/>
                <c:pt idx="0">
                  <c:v>I (mV)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Sheet2!$AS$5:$AS$41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Sheet2!$AU$5:$AU$41</c:f>
              <c:numCache>
                <c:formatCode>0.0</c:formatCode>
                <c:ptCount val="37"/>
                <c:pt idx="0">
                  <c:v>210.2</c:v>
                </c:pt>
                <c:pt idx="1">
                  <c:v>166.7</c:v>
                </c:pt>
                <c:pt idx="2">
                  <c:v>124.3</c:v>
                </c:pt>
                <c:pt idx="3" formatCode="0.00">
                  <c:v>82.26</c:v>
                </c:pt>
                <c:pt idx="4" formatCode="0.00">
                  <c:v>52.17</c:v>
                </c:pt>
                <c:pt idx="5" formatCode="0.00">
                  <c:v>32.46</c:v>
                </c:pt>
                <c:pt idx="6" formatCode="0.00">
                  <c:v>32.700000000000003</c:v>
                </c:pt>
                <c:pt idx="7" formatCode="0.00">
                  <c:v>47.12</c:v>
                </c:pt>
                <c:pt idx="8" formatCode="0.00">
                  <c:v>77.400000000000006</c:v>
                </c:pt>
                <c:pt idx="9">
                  <c:v>122.1</c:v>
                </c:pt>
                <c:pt idx="10">
                  <c:v>167.7</c:v>
                </c:pt>
                <c:pt idx="11">
                  <c:v>215.3</c:v>
                </c:pt>
                <c:pt idx="12">
                  <c:v>257.7</c:v>
                </c:pt>
                <c:pt idx="13">
                  <c:v>285.2</c:v>
                </c:pt>
                <c:pt idx="14">
                  <c:v>300.39999999999998</c:v>
                </c:pt>
                <c:pt idx="15">
                  <c:v>301.7</c:v>
                </c:pt>
                <c:pt idx="16">
                  <c:v>283.3</c:v>
                </c:pt>
                <c:pt idx="17">
                  <c:v>255.6</c:v>
                </c:pt>
                <c:pt idx="18">
                  <c:v>210.5</c:v>
                </c:pt>
                <c:pt idx="19">
                  <c:v>163.4</c:v>
                </c:pt>
                <c:pt idx="20">
                  <c:v>120.8</c:v>
                </c:pt>
                <c:pt idx="21" formatCode="0.00">
                  <c:v>77.41</c:v>
                </c:pt>
                <c:pt idx="22" formatCode="0.00">
                  <c:v>47.88</c:v>
                </c:pt>
                <c:pt idx="23" formatCode="0.00">
                  <c:v>32.22</c:v>
                </c:pt>
                <c:pt idx="24" formatCode="0.00">
                  <c:v>33.6</c:v>
                </c:pt>
                <c:pt idx="25" formatCode="0.00">
                  <c:v>50.25</c:v>
                </c:pt>
                <c:pt idx="26" formatCode="0.00">
                  <c:v>78.66</c:v>
                </c:pt>
                <c:pt idx="27">
                  <c:v>126.1</c:v>
                </c:pt>
                <c:pt idx="28">
                  <c:v>164.4</c:v>
                </c:pt>
                <c:pt idx="29">
                  <c:v>207.2</c:v>
                </c:pt>
                <c:pt idx="30">
                  <c:v>248.1</c:v>
                </c:pt>
                <c:pt idx="31">
                  <c:v>279.8</c:v>
                </c:pt>
                <c:pt idx="32">
                  <c:v>295.5</c:v>
                </c:pt>
                <c:pt idx="33">
                  <c:v>296.39999999999998</c:v>
                </c:pt>
                <c:pt idx="34">
                  <c:v>281.10000000000002</c:v>
                </c:pt>
                <c:pt idx="35">
                  <c:v>253.5</c:v>
                </c:pt>
                <c:pt idx="36">
                  <c:v>211.1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3A-4DEB-A38F-E401A4EFB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577872"/>
        <c:axId val="716578352"/>
      </c:scatterChart>
      <c:valAx>
        <c:axId val="716577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16578352"/>
        <c:crosses val="autoZero"/>
        <c:crossBetween val="midCat"/>
      </c:valAx>
      <c:valAx>
        <c:axId val="71657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16577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Sheet2!$BA$4</c:f>
              <c:strCache>
                <c:ptCount val="1"/>
                <c:pt idx="0">
                  <c:v>I (mV)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Sheet2!$AY$5:$AY$41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Sheet2!$BA$5:$BA$41</c:f>
              <c:numCache>
                <c:formatCode>0.0</c:formatCode>
                <c:ptCount val="37"/>
                <c:pt idx="0">
                  <c:v>156.19999999999999</c:v>
                </c:pt>
                <c:pt idx="1">
                  <c:v>134.1</c:v>
                </c:pt>
                <c:pt idx="2">
                  <c:v>111.7</c:v>
                </c:pt>
                <c:pt idx="3" formatCode="0.00">
                  <c:v>97.03</c:v>
                </c:pt>
                <c:pt idx="4" formatCode="0.00">
                  <c:v>89.57</c:v>
                </c:pt>
                <c:pt idx="5" formatCode="0.00">
                  <c:v>96.33</c:v>
                </c:pt>
                <c:pt idx="6">
                  <c:v>109.5</c:v>
                </c:pt>
                <c:pt idx="7">
                  <c:v>133.9</c:v>
                </c:pt>
                <c:pt idx="8">
                  <c:v>158.69999999999999</c:v>
                </c:pt>
                <c:pt idx="9">
                  <c:v>190.1</c:v>
                </c:pt>
                <c:pt idx="10">
                  <c:v>213.4</c:v>
                </c:pt>
                <c:pt idx="11">
                  <c:v>234.9</c:v>
                </c:pt>
                <c:pt idx="12">
                  <c:v>245.6</c:v>
                </c:pt>
                <c:pt idx="13">
                  <c:v>250</c:v>
                </c:pt>
                <c:pt idx="14">
                  <c:v>241.7</c:v>
                </c:pt>
                <c:pt idx="15">
                  <c:v>227.8</c:v>
                </c:pt>
                <c:pt idx="16">
                  <c:v>204.4</c:v>
                </c:pt>
                <c:pt idx="17">
                  <c:v>179.6</c:v>
                </c:pt>
                <c:pt idx="18">
                  <c:v>152.9</c:v>
                </c:pt>
                <c:pt idx="19">
                  <c:v>126.1</c:v>
                </c:pt>
                <c:pt idx="20">
                  <c:v>103.6</c:v>
                </c:pt>
                <c:pt idx="21" formatCode="0.00">
                  <c:v>90.1</c:v>
                </c:pt>
                <c:pt idx="22" formatCode="0.00">
                  <c:v>84.79</c:v>
                </c:pt>
                <c:pt idx="23" formatCode="0.00">
                  <c:v>91.77</c:v>
                </c:pt>
                <c:pt idx="24">
                  <c:v>106</c:v>
                </c:pt>
                <c:pt idx="25">
                  <c:v>127.7</c:v>
                </c:pt>
                <c:pt idx="26">
                  <c:v>149</c:v>
                </c:pt>
                <c:pt idx="27">
                  <c:v>179.4</c:v>
                </c:pt>
                <c:pt idx="28">
                  <c:v>197.4</c:v>
                </c:pt>
                <c:pt idx="29">
                  <c:v>215.3</c:v>
                </c:pt>
                <c:pt idx="30">
                  <c:v>233.7</c:v>
                </c:pt>
                <c:pt idx="31">
                  <c:v>240</c:v>
                </c:pt>
                <c:pt idx="32">
                  <c:v>237.7</c:v>
                </c:pt>
                <c:pt idx="33">
                  <c:v>222.8</c:v>
                </c:pt>
                <c:pt idx="34">
                  <c:v>203.1</c:v>
                </c:pt>
                <c:pt idx="35">
                  <c:v>182.8</c:v>
                </c:pt>
                <c:pt idx="36">
                  <c:v>153.69999999999999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DA-4768-93E4-33E8E79F8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297200"/>
        <c:axId val="732298160"/>
      </c:scatterChart>
      <c:valAx>
        <c:axId val="732297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32298160"/>
        <c:crosses val="autoZero"/>
        <c:crossBetween val="midCat"/>
      </c:valAx>
      <c:valAx>
        <c:axId val="73229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32297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6.xml"/><Relationship Id="rId3" Type="http://schemas.openxmlformats.org/officeDocument/2006/relationships/chart" Target="../charts/chart21.xml"/><Relationship Id="rId7" Type="http://schemas.openxmlformats.org/officeDocument/2006/relationships/chart" Target="../charts/chart25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Relationship Id="rId9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289367</xdr:colOff>
      <xdr:row>42</xdr:row>
      <xdr:rowOff>12539</xdr:rowOff>
    </xdr:from>
    <xdr:to>
      <xdr:col>7</xdr:col>
      <xdr:colOff>511215</xdr:colOff>
      <xdr:row>57</xdr:row>
      <xdr:rowOff>6752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20E0FE-FA70-86E5-B5D1-6BD7250C16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540152</xdr:colOff>
      <xdr:row>42</xdr:row>
      <xdr:rowOff>12538</xdr:rowOff>
    </xdr:from>
    <xdr:to>
      <xdr:col>16</xdr:col>
      <xdr:colOff>250785</xdr:colOff>
      <xdr:row>57</xdr:row>
      <xdr:rowOff>6751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117092-9A8A-6B5B-9B97-A696370612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540152</xdr:colOff>
      <xdr:row>41</xdr:row>
      <xdr:rowOff>166868</xdr:rowOff>
    </xdr:from>
    <xdr:to>
      <xdr:col>25</xdr:col>
      <xdr:colOff>250785</xdr:colOff>
      <xdr:row>56</xdr:row>
      <xdr:rowOff>161081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20BB96-2F9C-15F5-A425-7945CDC273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19291</xdr:colOff>
      <xdr:row>42</xdr:row>
      <xdr:rowOff>12539</xdr:rowOff>
    </xdr:from>
    <xdr:to>
      <xdr:col>34</xdr:col>
      <xdr:colOff>337595</xdr:colOff>
      <xdr:row>57</xdr:row>
      <xdr:rowOff>6752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F4DFD6-DE54-ECFF-10F8-3233C1ABB0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36</xdr:col>
      <xdr:colOff>158547</xdr:colOff>
      <xdr:row>42</xdr:row>
      <xdr:rowOff>67115</xdr:rowOff>
    </xdr:from>
    <xdr:to>
      <xdr:col>43</xdr:col>
      <xdr:colOff>478756</xdr:colOff>
      <xdr:row>57</xdr:row>
      <xdr:rowOff>98112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8610879-7F7F-2EE9-5737-D4132B9B69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45</xdr:col>
      <xdr:colOff>107758</xdr:colOff>
      <xdr:row>42</xdr:row>
      <xdr:rowOff>63886</xdr:rowOff>
    </xdr:from>
    <xdr:to>
      <xdr:col>52</xdr:col>
      <xdr:colOff>423334</xdr:colOff>
      <xdr:row>57</xdr:row>
      <xdr:rowOff>36176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2661C9B-656E-DC4E-7ED1-5860C7ED17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53</xdr:col>
      <xdr:colOff>484910</xdr:colOff>
      <xdr:row>41</xdr:row>
      <xdr:rowOff>152399</xdr:rowOff>
    </xdr:from>
    <xdr:to>
      <xdr:col>61</xdr:col>
      <xdr:colOff>148442</xdr:colOff>
      <xdr:row>57</xdr:row>
      <xdr:rowOff>45521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C1EDCCF-5FFB-EF40-A292-89B9DCB3F9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62</xdr:col>
      <xdr:colOff>227611</xdr:colOff>
      <xdr:row>41</xdr:row>
      <xdr:rowOff>102919</xdr:rowOff>
    </xdr:from>
    <xdr:to>
      <xdr:col>69</xdr:col>
      <xdr:colOff>504701</xdr:colOff>
      <xdr:row>56</xdr:row>
      <xdr:rowOff>174171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48992B7-6653-95F4-35FD-989C4DB8EA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71</xdr:col>
      <xdr:colOff>394290</xdr:colOff>
      <xdr:row>41</xdr:row>
      <xdr:rowOff>54935</xdr:rowOff>
    </xdr:from>
    <xdr:to>
      <xdr:col>79</xdr:col>
      <xdr:colOff>75314</xdr:colOff>
      <xdr:row>56</xdr:row>
      <xdr:rowOff>7088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C02CE20-5FBC-1CEC-F211-B91AEFE52E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168088</xdr:colOff>
      <xdr:row>59</xdr:row>
      <xdr:rowOff>90768</xdr:rowOff>
    </xdr:from>
    <xdr:to>
      <xdr:col>7</xdr:col>
      <xdr:colOff>403412</xdr:colOff>
      <xdr:row>74</xdr:row>
      <xdr:rowOff>144556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860535D-5A34-BAC3-16C9-77767F6979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549087</xdr:colOff>
      <xdr:row>59</xdr:row>
      <xdr:rowOff>113180</xdr:rowOff>
    </xdr:from>
    <xdr:to>
      <xdr:col>16</xdr:col>
      <xdr:colOff>280146</xdr:colOff>
      <xdr:row>74</xdr:row>
      <xdr:rowOff>166968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55F2FA7-3B21-FF22-4AA1-8260C27644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</xdr:col>
      <xdr:colOff>453258</xdr:colOff>
      <xdr:row>59</xdr:row>
      <xdr:rowOff>40728</xdr:rowOff>
    </xdr:from>
    <xdr:to>
      <xdr:col>25</xdr:col>
      <xdr:colOff>190500</xdr:colOff>
      <xdr:row>74</xdr:row>
      <xdr:rowOff>24962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2B49B28-DA41-920E-11D7-E693FEEE36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26</xdr:col>
      <xdr:colOff>446689</xdr:colOff>
      <xdr:row>58</xdr:row>
      <xdr:rowOff>131379</xdr:rowOff>
    </xdr:from>
    <xdr:to>
      <xdr:col>34</xdr:col>
      <xdr:colOff>183930</xdr:colOff>
      <xdr:row>73</xdr:row>
      <xdr:rowOff>115613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3062267-2669-4302-8CD6-5476A0B8F5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36</xdr:col>
      <xdr:colOff>85398</xdr:colOff>
      <xdr:row>59</xdr:row>
      <xdr:rowOff>1314</xdr:rowOff>
    </xdr:from>
    <xdr:to>
      <xdr:col>43</xdr:col>
      <xdr:colOff>426984</xdr:colOff>
      <xdr:row>73</xdr:row>
      <xdr:rowOff>169479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2B322A3-17BA-62AE-E88F-3AA002D346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45</xdr:col>
      <xdr:colOff>72258</xdr:colOff>
      <xdr:row>58</xdr:row>
      <xdr:rowOff>172106</xdr:rowOff>
    </xdr:from>
    <xdr:to>
      <xdr:col>52</xdr:col>
      <xdr:colOff>413845</xdr:colOff>
      <xdr:row>73</xdr:row>
      <xdr:rowOff>156340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41D5D93-8BD8-6E0C-A57B-E24D4FABAB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53</xdr:col>
      <xdr:colOff>479535</xdr:colOff>
      <xdr:row>59</xdr:row>
      <xdr:rowOff>14451</xdr:rowOff>
    </xdr:from>
    <xdr:to>
      <xdr:col>61</xdr:col>
      <xdr:colOff>216776</xdr:colOff>
      <xdr:row>73</xdr:row>
      <xdr:rowOff>182616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D5D8CB4-AF90-B17A-C4D2-47D9E4F263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62</xdr:col>
      <xdr:colOff>177361</xdr:colOff>
      <xdr:row>58</xdr:row>
      <xdr:rowOff>172106</xdr:rowOff>
    </xdr:from>
    <xdr:to>
      <xdr:col>69</xdr:col>
      <xdr:colOff>518947</xdr:colOff>
      <xdr:row>73</xdr:row>
      <xdr:rowOff>156340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22F4E1E-7CF5-4DA1-5A82-F0B9DC8A97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71</xdr:col>
      <xdr:colOff>400706</xdr:colOff>
      <xdr:row>58</xdr:row>
      <xdr:rowOff>27590</xdr:rowOff>
    </xdr:from>
    <xdr:to>
      <xdr:col>79</xdr:col>
      <xdr:colOff>137947</xdr:colOff>
      <xdr:row>73</xdr:row>
      <xdr:rowOff>11824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158B266A-FA71-3A8C-0184-BFF99CA1AD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43</xdr:row>
      <xdr:rowOff>93306</xdr:rowOff>
    </xdr:from>
    <xdr:to>
      <xdr:col>5</xdr:col>
      <xdr:colOff>342123</xdr:colOff>
      <xdr:row>57</xdr:row>
      <xdr:rowOff>6752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7E9D27-495A-463B-9064-EB9962F51F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73623</xdr:colOff>
      <xdr:row>43</xdr:row>
      <xdr:rowOff>62204</xdr:rowOff>
    </xdr:from>
    <xdr:to>
      <xdr:col>12</xdr:col>
      <xdr:colOff>46654</xdr:colOff>
      <xdr:row>57</xdr:row>
      <xdr:rowOff>84507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7D5D43-E76B-42E3-84CC-4C80B3DEDE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151376</xdr:colOff>
      <xdr:row>42</xdr:row>
      <xdr:rowOff>155511</xdr:rowOff>
    </xdr:from>
    <xdr:to>
      <xdr:col>18</xdr:col>
      <xdr:colOff>31103</xdr:colOff>
      <xdr:row>55</xdr:row>
      <xdr:rowOff>145531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41E9FBC-9438-4734-A41A-3F37ECF69F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143700</xdr:colOff>
      <xdr:row>42</xdr:row>
      <xdr:rowOff>168051</xdr:rowOff>
    </xdr:from>
    <xdr:to>
      <xdr:col>24</xdr:col>
      <xdr:colOff>139959</xdr:colOff>
      <xdr:row>55</xdr:row>
      <xdr:rowOff>124410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7DDB020-85D9-4637-88E0-F8F5CA4138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267136</xdr:colOff>
      <xdr:row>42</xdr:row>
      <xdr:rowOff>130392</xdr:rowOff>
    </xdr:from>
    <xdr:to>
      <xdr:col>30</xdr:col>
      <xdr:colOff>15551</xdr:colOff>
      <xdr:row>55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94F40F2-75AA-46E8-ADC5-3EC59641EF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30</xdr:col>
      <xdr:colOff>201064</xdr:colOff>
      <xdr:row>42</xdr:row>
      <xdr:rowOff>32784</xdr:rowOff>
    </xdr:from>
    <xdr:to>
      <xdr:col>36</xdr:col>
      <xdr:colOff>0</xdr:colOff>
      <xdr:row>54</xdr:row>
      <xdr:rowOff>46653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EA52F0F-FE90-4539-ABFD-052D264C4C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36</xdr:col>
      <xdr:colOff>96134</xdr:colOff>
      <xdr:row>42</xdr:row>
      <xdr:rowOff>27992</xdr:rowOff>
    </xdr:from>
    <xdr:to>
      <xdr:col>41</xdr:col>
      <xdr:colOff>528734</xdr:colOff>
      <xdr:row>52</xdr:row>
      <xdr:rowOff>139959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90CC0B9-D2EF-4A3B-8086-795883A25C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42</xdr:col>
      <xdr:colOff>9897</xdr:colOff>
      <xdr:row>41</xdr:row>
      <xdr:rowOff>165124</xdr:rowOff>
    </xdr:from>
    <xdr:to>
      <xdr:col>48</xdr:col>
      <xdr:colOff>31103</xdr:colOff>
      <xdr:row>54</xdr:row>
      <xdr:rowOff>77755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FCB390F-3817-486D-94A5-C2E11A47FB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48</xdr:col>
      <xdr:colOff>207679</xdr:colOff>
      <xdr:row>41</xdr:row>
      <xdr:rowOff>163794</xdr:rowOff>
    </xdr:from>
    <xdr:to>
      <xdr:col>54</xdr:col>
      <xdr:colOff>155510</xdr:colOff>
      <xdr:row>54</xdr:row>
      <xdr:rowOff>155511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5F56FB1-43CA-47F5-B0D4-3B91DD93BD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C628C-6689-4F25-9224-AA8D49E00CCB}">
  <dimension ref="A1:CB41"/>
  <sheetViews>
    <sheetView tabSelected="1" topLeftCell="G46" zoomScale="58" workbookViewId="0">
      <selection activeCell="P81" sqref="P81"/>
    </sheetView>
  </sheetViews>
  <sheetFormatPr defaultRowHeight="14.4" x14ac:dyDescent="0.3"/>
  <cols>
    <col min="1" max="1" width="10.33203125" bestFit="1" customWidth="1"/>
  </cols>
  <sheetData>
    <row r="1" spans="1:80" x14ac:dyDescent="0.3">
      <c r="A1" s="1">
        <v>45782</v>
      </c>
    </row>
    <row r="2" spans="1:80" x14ac:dyDescent="0.3">
      <c r="A2" t="s">
        <v>0</v>
      </c>
    </row>
    <row r="4" spans="1:80" x14ac:dyDescent="0.3">
      <c r="A4" s="3" t="s">
        <v>1</v>
      </c>
      <c r="B4" s="3" t="s">
        <v>2</v>
      </c>
      <c r="C4" s="3" t="s">
        <v>5</v>
      </c>
      <c r="D4" s="3" t="s">
        <v>6</v>
      </c>
      <c r="E4" s="3" t="s">
        <v>3</v>
      </c>
      <c r="F4" s="3" t="s">
        <v>4</v>
      </c>
      <c r="G4" s="10" t="s">
        <v>26</v>
      </c>
      <c r="H4" s="10" t="s">
        <v>27</v>
      </c>
      <c r="J4" s="3" t="s">
        <v>1</v>
      </c>
      <c r="K4" s="3" t="s">
        <v>2</v>
      </c>
      <c r="L4" s="3" t="s">
        <v>5</v>
      </c>
      <c r="M4" s="3" t="s">
        <v>6</v>
      </c>
      <c r="N4" s="3" t="s">
        <v>3</v>
      </c>
      <c r="O4" s="3" t="s">
        <v>4</v>
      </c>
      <c r="P4" s="10" t="s">
        <v>26</v>
      </c>
      <c r="Q4" s="10" t="s">
        <v>27</v>
      </c>
      <c r="S4" s="3" t="s">
        <v>1</v>
      </c>
      <c r="T4" s="3" t="s">
        <v>2</v>
      </c>
      <c r="U4" s="3" t="s">
        <v>5</v>
      </c>
      <c r="V4" s="3" t="s">
        <v>6</v>
      </c>
      <c r="W4" s="3" t="s">
        <v>3</v>
      </c>
      <c r="X4" s="3" t="s">
        <v>4</v>
      </c>
      <c r="Y4" s="10" t="s">
        <v>26</v>
      </c>
      <c r="Z4" s="10" t="s">
        <v>27</v>
      </c>
      <c r="AB4" s="3" t="s">
        <v>1</v>
      </c>
      <c r="AC4" s="3" t="s">
        <v>2</v>
      </c>
      <c r="AD4" s="3" t="s">
        <v>5</v>
      </c>
      <c r="AE4" s="3" t="s">
        <v>6</v>
      </c>
      <c r="AF4" s="3" t="s">
        <v>3</v>
      </c>
      <c r="AG4" s="3" t="s">
        <v>4</v>
      </c>
      <c r="AH4" s="10" t="s">
        <v>26</v>
      </c>
      <c r="AI4" s="10" t="s">
        <v>27</v>
      </c>
      <c r="AK4" s="3" t="s">
        <v>1</v>
      </c>
      <c r="AL4" s="3" t="s">
        <v>2</v>
      </c>
      <c r="AM4" s="3" t="s">
        <v>5</v>
      </c>
      <c r="AN4" s="3" t="s">
        <v>6</v>
      </c>
      <c r="AO4" s="3" t="s">
        <v>3</v>
      </c>
      <c r="AP4" s="3" t="s">
        <v>4</v>
      </c>
      <c r="AQ4" s="10" t="s">
        <v>26</v>
      </c>
      <c r="AR4" s="10" t="s">
        <v>27</v>
      </c>
      <c r="AT4" s="3" t="s">
        <v>1</v>
      </c>
      <c r="AU4" s="3" t="s">
        <v>2</v>
      </c>
      <c r="AV4" s="3" t="s">
        <v>5</v>
      </c>
      <c r="AW4" s="3" t="s">
        <v>6</v>
      </c>
      <c r="AX4" s="3" t="s">
        <v>3</v>
      </c>
      <c r="AY4" s="3" t="s">
        <v>4</v>
      </c>
      <c r="AZ4" s="10" t="s">
        <v>26</v>
      </c>
      <c r="BA4" s="10" t="s">
        <v>27</v>
      </c>
      <c r="BC4" s="3" t="s">
        <v>1</v>
      </c>
      <c r="BD4" s="3" t="s">
        <v>2</v>
      </c>
      <c r="BE4" s="3" t="s">
        <v>5</v>
      </c>
      <c r="BF4" s="3" t="s">
        <v>6</v>
      </c>
      <c r="BG4" s="3" t="s">
        <v>3</v>
      </c>
      <c r="BH4" s="3" t="s">
        <v>4</v>
      </c>
      <c r="BI4" s="10" t="s">
        <v>26</v>
      </c>
      <c r="BJ4" s="10" t="s">
        <v>27</v>
      </c>
      <c r="BL4" s="3" t="s">
        <v>1</v>
      </c>
      <c r="BM4" s="3" t="s">
        <v>2</v>
      </c>
      <c r="BN4" s="3" t="s">
        <v>5</v>
      </c>
      <c r="BO4" s="3" t="s">
        <v>6</v>
      </c>
      <c r="BP4" s="3" t="s">
        <v>3</v>
      </c>
      <c r="BQ4" s="3" t="s">
        <v>4</v>
      </c>
      <c r="BR4" s="10" t="s">
        <v>26</v>
      </c>
      <c r="BS4" s="10" t="s">
        <v>27</v>
      </c>
      <c r="BU4" s="3" t="s">
        <v>1</v>
      </c>
      <c r="BV4" s="3" t="s">
        <v>2</v>
      </c>
      <c r="BW4" s="3" t="s">
        <v>5</v>
      </c>
      <c r="BX4" s="3" t="s">
        <v>6</v>
      </c>
      <c r="BY4" s="3" t="s">
        <v>3</v>
      </c>
      <c r="BZ4" s="3" t="s">
        <v>4</v>
      </c>
      <c r="CA4" s="10" t="s">
        <v>26</v>
      </c>
      <c r="CB4" s="10" t="s">
        <v>27</v>
      </c>
    </row>
    <row r="5" spans="1:80" x14ac:dyDescent="0.3">
      <c r="A5">
        <v>0</v>
      </c>
      <c r="B5">
        <v>0.5</v>
      </c>
      <c r="C5">
        <v>0</v>
      </c>
      <c r="D5">
        <v>0.5</v>
      </c>
      <c r="E5">
        <v>225.4</v>
      </c>
      <c r="F5">
        <v>0.1</v>
      </c>
      <c r="G5">
        <f>E5/1000*COS(RADIANS(C5))</f>
        <v>0.22540000000000002</v>
      </c>
      <c r="H5">
        <f>E5/1000*SIN(RADIANS(C5))</f>
        <v>0</v>
      </c>
      <c r="J5">
        <v>30</v>
      </c>
      <c r="K5">
        <v>0.5</v>
      </c>
      <c r="L5">
        <v>0</v>
      </c>
      <c r="M5">
        <v>0.5</v>
      </c>
      <c r="N5">
        <v>170.8</v>
      </c>
      <c r="O5">
        <v>0.1</v>
      </c>
      <c r="P5">
        <f>N5/1000*COS(RADIANS(L5))</f>
        <v>0.17080000000000001</v>
      </c>
      <c r="Q5">
        <f>N5/1000*SIN(RADIANS(L5))</f>
        <v>0</v>
      </c>
      <c r="S5">
        <v>45</v>
      </c>
      <c r="T5">
        <v>0.5</v>
      </c>
      <c r="U5">
        <v>0</v>
      </c>
      <c r="V5">
        <v>0.5</v>
      </c>
      <c r="W5">
        <v>240.5</v>
      </c>
      <c r="X5">
        <v>0.1</v>
      </c>
      <c r="Y5">
        <f>W5/1000*COS(RADIANS(U5))</f>
        <v>0.24049999999999999</v>
      </c>
      <c r="Z5">
        <f>W5/1000*SIN(RADIANS(U5))</f>
        <v>0</v>
      </c>
      <c r="AB5">
        <v>60</v>
      </c>
      <c r="AC5">
        <v>0.5</v>
      </c>
      <c r="AD5">
        <v>0</v>
      </c>
      <c r="AE5">
        <v>0.5</v>
      </c>
      <c r="AF5">
        <v>301.10000000000002</v>
      </c>
      <c r="AG5">
        <v>0.1</v>
      </c>
      <c r="AH5">
        <f>AF5/1000*COS(RADIANS(AD5))</f>
        <v>0.30110000000000003</v>
      </c>
      <c r="AI5">
        <f>AF5/1000*SIN(RADIANS(AD5))</f>
        <v>0</v>
      </c>
      <c r="AK5">
        <v>90</v>
      </c>
      <c r="AL5">
        <v>0.5</v>
      </c>
      <c r="AM5">
        <v>0</v>
      </c>
      <c r="AN5">
        <v>0.5</v>
      </c>
      <c r="AO5">
        <v>220.9</v>
      </c>
      <c r="AP5">
        <v>0.1</v>
      </c>
      <c r="AQ5">
        <f>AO5/1000*COS(RADIANS(AM5))</f>
        <v>0.22090000000000001</v>
      </c>
      <c r="AR5">
        <f>AO5/1000*SIN(RADIANS(AM5))</f>
        <v>0</v>
      </c>
      <c r="AT5">
        <v>-30</v>
      </c>
      <c r="AU5">
        <v>0.5</v>
      </c>
      <c r="AV5">
        <v>0</v>
      </c>
      <c r="AW5">
        <v>0.5</v>
      </c>
      <c r="AX5">
        <v>279.7</v>
      </c>
      <c r="AY5">
        <v>0.1</v>
      </c>
      <c r="AZ5">
        <f>AX5/1000*COS(RADIANS(AV5))</f>
        <v>0.2797</v>
      </c>
      <c r="BA5">
        <f>AX5/1000*SIN(RADIANS(AV5))</f>
        <v>0</v>
      </c>
      <c r="BC5">
        <v>-50</v>
      </c>
      <c r="BD5">
        <v>0.5</v>
      </c>
      <c r="BE5">
        <v>0</v>
      </c>
      <c r="BF5">
        <v>0.5</v>
      </c>
      <c r="BG5">
        <v>189.9</v>
      </c>
      <c r="BH5">
        <v>0.1</v>
      </c>
      <c r="BI5">
        <f>BG5/1000*COS(RADIANS(BE5))</f>
        <v>0.18990000000000001</v>
      </c>
      <c r="BJ5">
        <f>BG5/1000*SIN(RADIANS(BE5))</f>
        <v>0</v>
      </c>
      <c r="BL5">
        <v>-45</v>
      </c>
      <c r="BM5">
        <v>0.5</v>
      </c>
      <c r="BN5">
        <v>0</v>
      </c>
      <c r="BO5">
        <v>0.5</v>
      </c>
      <c r="BP5">
        <v>210.2</v>
      </c>
      <c r="BQ5">
        <v>0.1</v>
      </c>
      <c r="BR5">
        <f>BP5/1000*COS(RADIANS(BN5))</f>
        <v>0.2102</v>
      </c>
      <c r="BS5">
        <f>BP5/1000*SIN(RADIANS(BN5))</f>
        <v>0</v>
      </c>
      <c r="BU5">
        <v>-60</v>
      </c>
      <c r="BV5">
        <v>0.5</v>
      </c>
      <c r="BW5">
        <v>0</v>
      </c>
      <c r="BX5">
        <v>0.5</v>
      </c>
      <c r="BY5">
        <v>156.19999999999999</v>
      </c>
      <c r="BZ5">
        <v>0.1</v>
      </c>
      <c r="CA5">
        <f>BY5/1000*COS(RADIANS(BW5))</f>
        <v>0.15619999999999998</v>
      </c>
      <c r="CB5">
        <f>BY5/1000*SIN(RADIANS(BW5))</f>
        <v>0</v>
      </c>
    </row>
    <row r="6" spans="1:80" x14ac:dyDescent="0.3">
      <c r="C6">
        <f>C5+10</f>
        <v>10</v>
      </c>
      <c r="E6">
        <v>227.6</v>
      </c>
      <c r="F6">
        <f>0.5*2.7</f>
        <v>1.35</v>
      </c>
      <c r="G6">
        <f t="shared" ref="G6:G41" si="0">E6/1000*COS(RADIANS(C6))</f>
        <v>0.22414224458557855</v>
      </c>
      <c r="H6">
        <f t="shared" ref="H6:H41" si="1">E6/1000*SIN(RADIANS(C6))</f>
        <v>3.9522325236993346E-2</v>
      </c>
      <c r="L6">
        <f>L5+10</f>
        <v>10</v>
      </c>
      <c r="N6">
        <v>141.19999999999999</v>
      </c>
      <c r="O6">
        <f>0.5*(170.8-168.6)</f>
        <v>1.1000000000000085</v>
      </c>
      <c r="P6">
        <f t="shared" ref="P6:P41" si="2">N6/1000*COS(RADIANS(L6))</f>
        <v>0.13905485472532375</v>
      </c>
      <c r="Q6">
        <f t="shared" ref="Q6:Q41" si="3">N6/1000*SIN(RADIANS(L6))</f>
        <v>2.4519122686570562E-2</v>
      </c>
      <c r="U6">
        <f>U5+10</f>
        <v>10</v>
      </c>
      <c r="W6">
        <v>197.8</v>
      </c>
      <c r="X6">
        <f>0.5*(242.1-239.6)</f>
        <v>1.25</v>
      </c>
      <c r="Y6">
        <f t="shared" ref="Y6:Y41" si="4">W6/1000*COS(RADIANS(U6))</f>
        <v>0.19479497354581474</v>
      </c>
      <c r="Z6">
        <f t="shared" ref="Z6:Z41" si="5">W6/1000*SIN(RADIANS(U6))</f>
        <v>3.4347609542518823E-2</v>
      </c>
      <c r="AD6">
        <f>AD5+10</f>
        <v>10</v>
      </c>
      <c r="AF6">
        <v>270</v>
      </c>
      <c r="AH6">
        <f t="shared" ref="AH6:AH41" si="6">AF6/1000*COS(RADIANS(AD6))</f>
        <v>0.26589809331329617</v>
      </c>
      <c r="AI6">
        <f t="shared" ref="AI6:AI41" si="7">AF6/1000*SIN(RADIANS(AD6))</f>
        <v>4.6885007970071189E-2</v>
      </c>
      <c r="AM6">
        <f>AM5+10</f>
        <v>10</v>
      </c>
      <c r="AO6">
        <v>242.6</v>
      </c>
      <c r="AQ6">
        <f t="shared" ref="AQ6:AQ41" si="8">AO6/1000*COS(RADIANS(AM6))</f>
        <v>0.23891436088076165</v>
      </c>
      <c r="AR6">
        <f t="shared" ref="AR6:AR41" si="9">AO6/1000*SIN(RADIANS(AM6))</f>
        <v>4.2127047901997297E-2</v>
      </c>
      <c r="AT6">
        <v>330</v>
      </c>
      <c r="AV6">
        <f>AV5+10</f>
        <v>10</v>
      </c>
      <c r="AX6">
        <v>244.2</v>
      </c>
      <c r="AZ6">
        <f t="shared" ref="AZ6:AZ41" si="10">AX6/1000*COS(RADIANS(AV6))</f>
        <v>0.24049005328558121</v>
      </c>
      <c r="BA6">
        <f t="shared" ref="BA6:BA41" si="11">AX6/1000*SIN(RADIANS(AV6))</f>
        <v>4.2404884986264386E-2</v>
      </c>
      <c r="BC6">
        <v>310</v>
      </c>
      <c r="BE6">
        <f>BE5+10</f>
        <v>10</v>
      </c>
      <c r="BG6">
        <v>148.30000000000001</v>
      </c>
      <c r="BI6">
        <f t="shared" ref="BI6:BI41" si="12">BG6/1000*COS(RADIANS(BE6))</f>
        <v>0.14604698977171046</v>
      </c>
      <c r="BJ6">
        <f t="shared" ref="BJ6:BJ41" si="13">BG6/1000*SIN(RADIANS(BE6))</f>
        <v>2.575202474800577E-2</v>
      </c>
      <c r="BL6">
        <v>315</v>
      </c>
      <c r="BN6">
        <f>BN5+10</f>
        <v>10</v>
      </c>
      <c r="BP6">
        <v>166.7</v>
      </c>
      <c r="BR6">
        <f t="shared" ref="BR6:BR41" si="14">BP6/1000*COS(RADIANS(BN6))</f>
        <v>0.16416745242713507</v>
      </c>
      <c r="BS6">
        <f t="shared" ref="BS6:BS41" si="15">BP6/1000*SIN(RADIANS(BN6))</f>
        <v>2.8947151217077284E-2</v>
      </c>
      <c r="BU6">
        <v>300</v>
      </c>
      <c r="BW6">
        <f>BW5+10</f>
        <v>10</v>
      </c>
      <c r="BY6">
        <v>134.1</v>
      </c>
      <c r="CA6">
        <f t="shared" ref="CA6:CA41" si="16">BY6/1000*COS(RADIANS(BW6))</f>
        <v>0.1320627196789371</v>
      </c>
      <c r="CB6">
        <f t="shared" ref="CB6:CB41" si="17">BY6/1000*SIN(RADIANS(BW6))</f>
        <v>2.3286220625135357E-2</v>
      </c>
    </row>
    <row r="7" spans="1:80" x14ac:dyDescent="0.3">
      <c r="C7">
        <f t="shared" ref="C7:C41" si="18">C6+10</f>
        <v>20</v>
      </c>
      <c r="E7">
        <v>231.3</v>
      </c>
      <c r="G7">
        <f t="shared" si="0"/>
        <v>0.21735090318778064</v>
      </c>
      <c r="H7">
        <f t="shared" si="1"/>
        <v>7.9109259151227171E-2</v>
      </c>
      <c r="L7">
        <f t="shared" ref="L7:L41" si="19">L6+10</f>
        <v>20</v>
      </c>
      <c r="N7">
        <v>117.4</v>
      </c>
      <c r="P7">
        <f t="shared" si="2"/>
        <v>0.11031991368026565</v>
      </c>
      <c r="Q7">
        <f t="shared" si="3"/>
        <v>4.015316482643351E-2</v>
      </c>
      <c r="U7">
        <f t="shared" ref="U7:U41" si="20">U6+10</f>
        <v>20</v>
      </c>
      <c r="W7">
        <v>151.6</v>
      </c>
      <c r="Y7">
        <f t="shared" si="4"/>
        <v>0.14245740131114371</v>
      </c>
      <c r="Z7">
        <f t="shared" si="5"/>
        <v>5.1850253728171369E-2</v>
      </c>
      <c r="AD7">
        <f t="shared" ref="AD7:AD41" si="21">AD6+10</f>
        <v>20</v>
      </c>
      <c r="AF7">
        <v>221.4</v>
      </c>
      <c r="AH7">
        <f t="shared" si="6"/>
        <v>0.20804794624200013</v>
      </c>
      <c r="AI7">
        <f t="shared" si="7"/>
        <v>7.5723259732303053E-2</v>
      </c>
      <c r="AM7">
        <f t="shared" ref="AM7:AM41" si="22">AM6+10</f>
        <v>20</v>
      </c>
      <c r="AO7">
        <v>243.3</v>
      </c>
      <c r="AQ7">
        <f t="shared" si="8"/>
        <v>0.22862721463721153</v>
      </c>
      <c r="AR7">
        <f t="shared" si="9"/>
        <v>8.3213500871135201E-2</v>
      </c>
      <c r="AV7">
        <f t="shared" ref="AV7:AV41" si="23">AV6+10</f>
        <v>20</v>
      </c>
      <c r="AX7">
        <v>198.2</v>
      </c>
      <c r="AZ7">
        <f t="shared" si="10"/>
        <v>0.18624707743976704</v>
      </c>
      <c r="BA7">
        <f t="shared" si="11"/>
        <v>6.7788392407147541E-2</v>
      </c>
      <c r="BE7">
        <f t="shared" ref="BE7:BE41" si="24">BE6+10</f>
        <v>20</v>
      </c>
      <c r="BG7">
        <v>115.5</v>
      </c>
      <c r="BI7">
        <f t="shared" si="12"/>
        <v>0.10853449770077243</v>
      </c>
      <c r="BJ7">
        <f t="shared" si="13"/>
        <v>3.9503326554114739E-2</v>
      </c>
      <c r="BN7">
        <f t="shared" ref="BN7:BN41" si="25">BN6+10</f>
        <v>20</v>
      </c>
      <c r="BP7">
        <v>124.3</v>
      </c>
      <c r="BR7">
        <f t="shared" si="14"/>
        <v>0.11680379276368841</v>
      </c>
      <c r="BS7">
        <f t="shared" si="15"/>
        <v>4.2513103815380621E-2</v>
      </c>
      <c r="BW7">
        <f t="shared" ref="BW7:BW41" si="26">BW6+10</f>
        <v>20</v>
      </c>
      <c r="BY7">
        <v>111.7</v>
      </c>
      <c r="CA7">
        <f t="shared" si="16"/>
        <v>0.10496366574178598</v>
      </c>
      <c r="CB7">
        <f t="shared" si="17"/>
        <v>3.8203650009477196E-2</v>
      </c>
    </row>
    <row r="8" spans="1:80" x14ac:dyDescent="0.3">
      <c r="C8">
        <f t="shared" si="18"/>
        <v>30</v>
      </c>
      <c r="E8">
        <v>204.2</v>
      </c>
      <c r="G8">
        <f t="shared" si="0"/>
        <v>0.17684238745278238</v>
      </c>
      <c r="H8">
        <f t="shared" si="1"/>
        <v>0.10209999999999998</v>
      </c>
      <c r="L8">
        <f t="shared" si="19"/>
        <v>30</v>
      </c>
      <c r="N8" s="2">
        <v>99.15</v>
      </c>
      <c r="O8" t="s">
        <v>24</v>
      </c>
      <c r="P8">
        <f t="shared" si="2"/>
        <v>8.5866418785227105E-2</v>
      </c>
      <c r="Q8">
        <f t="shared" si="3"/>
        <v>4.9574999999999994E-2</v>
      </c>
      <c r="U8">
        <f t="shared" si="20"/>
        <v>30</v>
      </c>
      <c r="W8">
        <v>106.8</v>
      </c>
      <c r="Y8">
        <f t="shared" si="4"/>
        <v>9.249151312417804E-2</v>
      </c>
      <c r="Z8">
        <f t="shared" si="5"/>
        <v>5.3399999999999989E-2</v>
      </c>
      <c r="AD8">
        <f t="shared" si="21"/>
        <v>30</v>
      </c>
      <c r="AF8">
        <v>169.8</v>
      </c>
      <c r="AH8">
        <f t="shared" si="6"/>
        <v>0.1470511135625977</v>
      </c>
      <c r="AI8">
        <f t="shared" si="7"/>
        <v>8.4899999999999989E-2</v>
      </c>
      <c r="AM8">
        <f t="shared" si="22"/>
        <v>30</v>
      </c>
      <c r="AO8">
        <v>229.5</v>
      </c>
      <c r="AQ8">
        <f t="shared" si="8"/>
        <v>0.19875283016852868</v>
      </c>
      <c r="AR8">
        <f t="shared" si="9"/>
        <v>0.11474999999999999</v>
      </c>
      <c r="AV8">
        <f t="shared" si="23"/>
        <v>30</v>
      </c>
      <c r="AX8">
        <v>143.4</v>
      </c>
      <c r="AZ8">
        <f t="shared" si="10"/>
        <v>0.12418804290268851</v>
      </c>
      <c r="BA8">
        <f t="shared" si="11"/>
        <v>7.1699999999999986E-2</v>
      </c>
      <c r="BE8">
        <f t="shared" si="24"/>
        <v>30</v>
      </c>
      <c r="BG8" s="2">
        <v>80.45</v>
      </c>
      <c r="BI8">
        <f t="shared" si="12"/>
        <v>6.96717437344581E-2</v>
      </c>
      <c r="BJ8">
        <f t="shared" si="13"/>
        <v>4.0224999999999997E-2</v>
      </c>
      <c r="BN8">
        <f t="shared" si="25"/>
        <v>30</v>
      </c>
      <c r="BP8" s="2">
        <v>82.26</v>
      </c>
      <c r="BR8">
        <f t="shared" si="14"/>
        <v>7.1239249715307928E-2</v>
      </c>
      <c r="BS8">
        <f t="shared" si="15"/>
        <v>4.1129999999999993E-2</v>
      </c>
      <c r="BW8">
        <f t="shared" si="26"/>
        <v>30</v>
      </c>
      <c r="BY8" s="2">
        <v>97.03</v>
      </c>
      <c r="CA8">
        <f t="shared" si="16"/>
        <v>8.4030444929204098E-2</v>
      </c>
      <c r="CB8">
        <f t="shared" si="17"/>
        <v>4.8514999999999996E-2</v>
      </c>
    </row>
    <row r="9" spans="1:80" x14ac:dyDescent="0.3">
      <c r="C9">
        <f t="shared" si="18"/>
        <v>40</v>
      </c>
      <c r="E9">
        <v>192.7</v>
      </c>
      <c r="G9">
        <f t="shared" si="0"/>
        <v>0.14761676418902706</v>
      </c>
      <c r="H9">
        <f t="shared" si="1"/>
        <v>0.1238651723865961</v>
      </c>
      <c r="L9">
        <f t="shared" si="19"/>
        <v>40</v>
      </c>
      <c r="N9" s="2">
        <v>88.13</v>
      </c>
      <c r="P9">
        <f t="shared" si="2"/>
        <v>6.7511496772075533E-2</v>
      </c>
      <c r="Q9">
        <f t="shared" si="3"/>
        <v>5.6648872041674701E-2</v>
      </c>
      <c r="U9">
        <f t="shared" si="20"/>
        <v>40</v>
      </c>
      <c r="W9" s="2">
        <v>66.75</v>
      </c>
      <c r="Y9">
        <f t="shared" si="4"/>
        <v>5.1133466578191789E-2</v>
      </c>
      <c r="Z9">
        <f t="shared" si="5"/>
        <v>4.2906072946576494E-2</v>
      </c>
      <c r="AD9">
        <f t="shared" si="21"/>
        <v>40</v>
      </c>
      <c r="AF9">
        <v>115.5</v>
      </c>
      <c r="AH9">
        <f t="shared" si="6"/>
        <v>8.8478133180241961E-2</v>
      </c>
      <c r="AI9">
        <f t="shared" si="7"/>
        <v>7.4241968918795281E-2</v>
      </c>
      <c r="AM9">
        <f t="shared" si="22"/>
        <v>40</v>
      </c>
      <c r="AO9">
        <v>210</v>
      </c>
      <c r="AQ9">
        <f t="shared" si="8"/>
        <v>0.16086933305498538</v>
      </c>
      <c r="AR9">
        <f t="shared" si="9"/>
        <v>0.13498539803417323</v>
      </c>
      <c r="AV9">
        <f t="shared" si="23"/>
        <v>40</v>
      </c>
      <c r="AX9" s="2">
        <v>96.51</v>
      </c>
      <c r="AZ9">
        <f t="shared" si="10"/>
        <v>7.3930949205412572E-2</v>
      </c>
      <c r="BA9">
        <f t="shared" si="11"/>
        <v>6.2035432210847903E-2</v>
      </c>
      <c r="BE9">
        <f t="shared" si="24"/>
        <v>40</v>
      </c>
      <c r="BG9" s="2">
        <v>58.52</v>
      </c>
      <c r="BI9">
        <f t="shared" si="12"/>
        <v>4.4828920811322594E-2</v>
      </c>
      <c r="BJ9">
        <f t="shared" si="13"/>
        <v>3.7615930918856282E-2</v>
      </c>
      <c r="BN9">
        <f t="shared" si="25"/>
        <v>40</v>
      </c>
      <c r="BP9" s="2">
        <v>52.17</v>
      </c>
      <c r="BR9">
        <f t="shared" si="14"/>
        <v>3.9964538597517085E-2</v>
      </c>
      <c r="BS9">
        <f t="shared" si="15"/>
        <v>3.3534229597346754E-2</v>
      </c>
      <c r="BW9">
        <f t="shared" si="26"/>
        <v>40</v>
      </c>
      <c r="BY9" s="2">
        <v>89.57</v>
      </c>
      <c r="CA9">
        <f t="shared" si="16"/>
        <v>6.8614600770166859E-2</v>
      </c>
      <c r="CB9">
        <f t="shared" si="17"/>
        <v>5.7574486199623319E-2</v>
      </c>
    </row>
    <row r="10" spans="1:80" x14ac:dyDescent="0.3">
      <c r="C10">
        <f t="shared" si="18"/>
        <v>50</v>
      </c>
      <c r="E10">
        <v>178.6</v>
      </c>
      <c r="G10">
        <f t="shared" si="0"/>
        <v>0.11480186709001591</v>
      </c>
      <c r="H10">
        <f t="shared" si="1"/>
        <v>0.13681553754104947</v>
      </c>
      <c r="L10">
        <f t="shared" si="19"/>
        <v>50</v>
      </c>
      <c r="N10" s="2">
        <v>91.82</v>
      </c>
      <c r="O10" t="s">
        <v>25</v>
      </c>
      <c r="P10">
        <f t="shared" si="2"/>
        <v>5.9020758321418045E-2</v>
      </c>
      <c r="Q10">
        <f t="shared" si="3"/>
        <v>7.0338200767184555E-2</v>
      </c>
      <c r="U10">
        <f t="shared" si="20"/>
        <v>50</v>
      </c>
      <c r="W10" s="2">
        <v>42.57</v>
      </c>
      <c r="Y10">
        <f t="shared" si="4"/>
        <v>2.7363468544355982E-2</v>
      </c>
      <c r="Z10">
        <f t="shared" si="5"/>
        <v>3.2610511943574894E-2</v>
      </c>
      <c r="AD10">
        <f t="shared" si="21"/>
        <v>50</v>
      </c>
      <c r="AF10" s="2">
        <v>62.76</v>
      </c>
      <c r="AH10">
        <f t="shared" si="6"/>
        <v>4.0341350383927208E-2</v>
      </c>
      <c r="AI10">
        <f t="shared" si="7"/>
        <v>4.8076949250147057E-2</v>
      </c>
      <c r="AM10">
        <f t="shared" si="22"/>
        <v>50</v>
      </c>
      <c r="AO10">
        <v>183</v>
      </c>
      <c r="AQ10">
        <f t="shared" si="8"/>
        <v>0.1176301325726367</v>
      </c>
      <c r="AR10">
        <f t="shared" si="9"/>
        <v>0.14018613309077296</v>
      </c>
      <c r="AV10">
        <f t="shared" si="23"/>
        <v>50</v>
      </c>
      <c r="AX10" s="2">
        <v>54.88</v>
      </c>
      <c r="AZ10">
        <f t="shared" si="10"/>
        <v>3.5276184019597284E-2</v>
      </c>
      <c r="BA10">
        <f t="shared" si="11"/>
        <v>4.2040519038369514E-2</v>
      </c>
      <c r="BE10">
        <f t="shared" si="24"/>
        <v>50</v>
      </c>
      <c r="BG10" s="2">
        <v>49.73</v>
      </c>
      <c r="BI10">
        <f t="shared" si="12"/>
        <v>3.19658278297116E-2</v>
      </c>
      <c r="BJ10">
        <f t="shared" si="13"/>
        <v>3.8095390156306773E-2</v>
      </c>
      <c r="BN10">
        <f t="shared" si="25"/>
        <v>50</v>
      </c>
      <c r="BP10" s="2">
        <v>32.46</v>
      </c>
      <c r="BR10">
        <f t="shared" si="14"/>
        <v>2.086488581042507E-2</v>
      </c>
      <c r="BS10">
        <f t="shared" si="15"/>
        <v>2.486580262364203E-2</v>
      </c>
      <c r="BW10">
        <f t="shared" si="26"/>
        <v>50</v>
      </c>
      <c r="BY10" s="2">
        <v>96.33</v>
      </c>
      <c r="CA10">
        <f t="shared" si="16"/>
        <v>6.1919730441104333E-2</v>
      </c>
      <c r="CB10">
        <f t="shared" si="17"/>
        <v>7.3793061205651156E-2</v>
      </c>
    </row>
    <row r="11" spans="1:80" x14ac:dyDescent="0.3">
      <c r="C11">
        <f t="shared" si="18"/>
        <v>60</v>
      </c>
      <c r="E11">
        <v>153.69999999999999</v>
      </c>
      <c r="G11">
        <f t="shared" si="0"/>
        <v>7.6850000000000002E-2</v>
      </c>
      <c r="H11">
        <f t="shared" si="1"/>
        <v>0.13310810456166819</v>
      </c>
      <c r="L11">
        <f t="shared" si="19"/>
        <v>60</v>
      </c>
      <c r="N11" s="2">
        <v>99.02</v>
      </c>
      <c r="P11">
        <f t="shared" si="2"/>
        <v>4.9510000000000012E-2</v>
      </c>
      <c r="Q11">
        <f t="shared" si="3"/>
        <v>8.5753835482735102E-2</v>
      </c>
      <c r="U11">
        <f t="shared" si="20"/>
        <v>60</v>
      </c>
      <c r="W11" s="2">
        <v>34.200000000000003</v>
      </c>
      <c r="Y11">
        <f t="shared" si="4"/>
        <v>1.7100000000000004E-2</v>
      </c>
      <c r="Z11">
        <f t="shared" si="5"/>
        <v>2.96180688094278E-2</v>
      </c>
      <c r="AD11">
        <f t="shared" si="21"/>
        <v>60</v>
      </c>
      <c r="AF11" s="2">
        <v>28.33</v>
      </c>
      <c r="AH11">
        <f t="shared" si="6"/>
        <v>1.4165000000000002E-2</v>
      </c>
      <c r="AI11">
        <f t="shared" si="7"/>
        <v>2.4534499689213143E-2</v>
      </c>
      <c r="AM11">
        <f t="shared" si="22"/>
        <v>60</v>
      </c>
      <c r="AO11">
        <v>156.4</v>
      </c>
      <c r="AQ11">
        <f t="shared" si="8"/>
        <v>7.8200000000000019E-2</v>
      </c>
      <c r="AR11">
        <f t="shared" si="9"/>
        <v>0.13544637315188621</v>
      </c>
      <c r="AV11">
        <f t="shared" si="23"/>
        <v>60</v>
      </c>
      <c r="AX11" s="2">
        <v>23.02</v>
      </c>
      <c r="AZ11">
        <f t="shared" si="10"/>
        <v>1.1510000000000001E-2</v>
      </c>
      <c r="BA11">
        <f t="shared" si="11"/>
        <v>1.9935904795117775E-2</v>
      </c>
      <c r="BE11">
        <f t="shared" si="24"/>
        <v>60</v>
      </c>
      <c r="BG11" s="2">
        <v>54.61</v>
      </c>
      <c r="BI11">
        <f t="shared" si="12"/>
        <v>2.7305000000000006E-2</v>
      </c>
      <c r="BJ11">
        <f t="shared" si="13"/>
        <v>4.7293647300668193E-2</v>
      </c>
      <c r="BN11">
        <f t="shared" si="25"/>
        <v>60</v>
      </c>
      <c r="BP11" s="2">
        <v>32.700000000000003</v>
      </c>
      <c r="BR11">
        <f t="shared" si="14"/>
        <v>1.6350000000000003E-2</v>
      </c>
      <c r="BS11">
        <f t="shared" si="15"/>
        <v>2.8319030703751143E-2</v>
      </c>
      <c r="BW11">
        <f t="shared" si="26"/>
        <v>60</v>
      </c>
      <c r="BY11">
        <v>109.5</v>
      </c>
      <c r="CA11">
        <f t="shared" si="16"/>
        <v>5.4750000000000014E-2</v>
      </c>
      <c r="CB11">
        <f t="shared" si="17"/>
        <v>9.482978171439603E-2</v>
      </c>
    </row>
    <row r="12" spans="1:80" x14ac:dyDescent="0.3">
      <c r="C12">
        <f t="shared" si="18"/>
        <v>70</v>
      </c>
      <c r="E12">
        <v>138.5</v>
      </c>
      <c r="G12">
        <f t="shared" si="0"/>
        <v>4.7369789850605137E-2</v>
      </c>
      <c r="H12">
        <f t="shared" si="1"/>
        <v>0.13014742797884832</v>
      </c>
      <c r="L12">
        <f t="shared" si="19"/>
        <v>70</v>
      </c>
      <c r="N12">
        <v>115.2</v>
      </c>
      <c r="P12">
        <f t="shared" si="2"/>
        <v>3.9400720511117045E-2</v>
      </c>
      <c r="Q12">
        <f t="shared" si="3"/>
        <v>0.10825258991453664</v>
      </c>
      <c r="U12">
        <f t="shared" si="20"/>
        <v>70</v>
      </c>
      <c r="W12" s="2">
        <v>41.47</v>
      </c>
      <c r="Y12">
        <f t="shared" si="4"/>
        <v>1.4183575343715485E-2</v>
      </c>
      <c r="Z12">
        <f t="shared" si="5"/>
        <v>3.8969052983991614E-2</v>
      </c>
      <c r="AD12">
        <f t="shared" si="21"/>
        <v>70</v>
      </c>
      <c r="AF12" s="2">
        <v>13.23</v>
      </c>
      <c r="AH12">
        <f t="shared" si="6"/>
        <v>4.524926496198599E-3</v>
      </c>
      <c r="AI12">
        <f t="shared" si="7"/>
        <v>1.2432133372997567E-2</v>
      </c>
      <c r="AM12">
        <f t="shared" si="22"/>
        <v>70</v>
      </c>
      <c r="AO12">
        <v>134.30000000000001</v>
      </c>
      <c r="AQ12">
        <f t="shared" si="8"/>
        <v>4.5933305248637327E-2</v>
      </c>
      <c r="AR12">
        <f t="shared" si="9"/>
        <v>0.1262007189715475</v>
      </c>
      <c r="AV12">
        <f t="shared" si="23"/>
        <v>70</v>
      </c>
      <c r="AX12" s="2">
        <v>12.37</v>
      </c>
      <c r="AZ12">
        <f t="shared" si="10"/>
        <v>4.2307891729385233E-3</v>
      </c>
      <c r="BA12">
        <f t="shared" si="11"/>
        <v>1.1623997719121685E-2</v>
      </c>
      <c r="BE12">
        <f t="shared" si="24"/>
        <v>70</v>
      </c>
      <c r="BG12" s="2">
        <v>69.569999999999993</v>
      </c>
      <c r="BI12">
        <f t="shared" si="12"/>
        <v>2.3794341371166778E-2</v>
      </c>
      <c r="BJ12">
        <f t="shared" si="13"/>
        <v>6.5374415628075638E-2</v>
      </c>
      <c r="BN12">
        <f t="shared" si="25"/>
        <v>70</v>
      </c>
      <c r="BP12" s="2">
        <v>47.12</v>
      </c>
      <c r="BR12">
        <f t="shared" si="14"/>
        <v>1.6115989153505515E-2</v>
      </c>
      <c r="BS12">
        <f t="shared" si="15"/>
        <v>4.4278316291431995E-2</v>
      </c>
      <c r="BW12">
        <f t="shared" si="26"/>
        <v>70</v>
      </c>
      <c r="BY12">
        <v>133.9</v>
      </c>
      <c r="CA12">
        <f t="shared" si="16"/>
        <v>4.5796497191307059E-2</v>
      </c>
      <c r="CB12">
        <f t="shared" si="17"/>
        <v>0.12582484192323315</v>
      </c>
    </row>
    <row r="13" spans="1:80" x14ac:dyDescent="0.3">
      <c r="C13">
        <f t="shared" si="18"/>
        <v>80</v>
      </c>
      <c r="E13">
        <v>131.19999999999999</v>
      </c>
      <c r="G13">
        <f t="shared" si="0"/>
        <v>2.2782640909901269E-2</v>
      </c>
      <c r="H13">
        <f t="shared" si="1"/>
        <v>0.12920677719520168</v>
      </c>
      <c r="L13">
        <f t="shared" si="19"/>
        <v>80</v>
      </c>
      <c r="N13">
        <v>138.19999999999999</v>
      </c>
      <c r="P13">
        <f t="shared" si="2"/>
        <v>2.399817815356978E-2</v>
      </c>
      <c r="Q13">
        <f t="shared" si="3"/>
        <v>0.13610043146628714</v>
      </c>
      <c r="U13">
        <f t="shared" si="20"/>
        <v>80</v>
      </c>
      <c r="W13" s="2">
        <v>63.6</v>
      </c>
      <c r="Y13">
        <f t="shared" si="4"/>
        <v>1.1044024099616774E-2</v>
      </c>
      <c r="Z13">
        <f t="shared" si="5"/>
        <v>6.2633773091576431E-2</v>
      </c>
      <c r="AD13">
        <f t="shared" si="21"/>
        <v>80</v>
      </c>
      <c r="AF13" s="2">
        <v>16.3</v>
      </c>
      <c r="AH13">
        <f t="shared" si="6"/>
        <v>2.8304652959709659E-3</v>
      </c>
      <c r="AI13">
        <f t="shared" si="7"/>
        <v>1.6052366374098993E-2</v>
      </c>
      <c r="AM13">
        <f t="shared" si="22"/>
        <v>80</v>
      </c>
      <c r="AO13">
        <v>113.3</v>
      </c>
      <c r="AQ13">
        <f t="shared" si="8"/>
        <v>1.9674338529663216E-2</v>
      </c>
      <c r="AR13">
        <f t="shared" si="9"/>
        <v>0.11157871841628317</v>
      </c>
      <c r="AV13">
        <f t="shared" si="23"/>
        <v>80</v>
      </c>
      <c r="AX13" s="2">
        <v>21.15</v>
      </c>
      <c r="AZ13">
        <f t="shared" si="10"/>
        <v>3.6726589576555782E-3</v>
      </c>
      <c r="BA13">
        <f t="shared" si="11"/>
        <v>2.0828683976208198E-2</v>
      </c>
      <c r="BE13">
        <f t="shared" si="24"/>
        <v>80</v>
      </c>
      <c r="BG13">
        <v>103.3</v>
      </c>
      <c r="BI13">
        <f t="shared" si="12"/>
        <v>1.7937856752993912E-2</v>
      </c>
      <c r="BJ13">
        <f t="shared" si="13"/>
        <v>0.10173064088616109</v>
      </c>
      <c r="BN13">
        <f t="shared" si="25"/>
        <v>80</v>
      </c>
      <c r="BP13" s="2">
        <v>77.400000000000006</v>
      </c>
      <c r="BR13">
        <f t="shared" si="14"/>
        <v>1.3440368951420416E-2</v>
      </c>
      <c r="BS13">
        <f t="shared" si="15"/>
        <v>7.6224120083144914E-2</v>
      </c>
      <c r="BW13">
        <f t="shared" si="26"/>
        <v>80</v>
      </c>
      <c r="BY13">
        <v>158.69999999999999</v>
      </c>
      <c r="CA13">
        <f t="shared" si="16"/>
        <v>2.7557965795741855E-2</v>
      </c>
      <c r="CB13">
        <f t="shared" si="17"/>
        <v>0.1562889904030374</v>
      </c>
    </row>
    <row r="14" spans="1:80" x14ac:dyDescent="0.3">
      <c r="C14">
        <f t="shared" si="18"/>
        <v>90</v>
      </c>
      <c r="E14">
        <v>122.8</v>
      </c>
      <c r="G14">
        <f t="shared" si="0"/>
        <v>7.5224115131389259E-18</v>
      </c>
      <c r="H14">
        <f t="shared" si="1"/>
        <v>0.12279999999999999</v>
      </c>
      <c r="L14">
        <f t="shared" si="19"/>
        <v>90</v>
      </c>
      <c r="N14">
        <v>168.3</v>
      </c>
      <c r="P14">
        <f t="shared" si="2"/>
        <v>1.0309624248056037E-17</v>
      </c>
      <c r="Q14">
        <f t="shared" si="3"/>
        <v>0.16830000000000001</v>
      </c>
      <c r="U14">
        <f t="shared" si="20"/>
        <v>90</v>
      </c>
      <c r="W14">
        <v>104.9</v>
      </c>
      <c r="Y14">
        <f t="shared" si="4"/>
        <v>6.4259036459957123E-18</v>
      </c>
      <c r="Z14">
        <f t="shared" si="5"/>
        <v>0.10490000000000001</v>
      </c>
      <c r="AD14">
        <f t="shared" si="21"/>
        <v>90</v>
      </c>
      <c r="AF14" s="2">
        <v>42.11</v>
      </c>
      <c r="AH14">
        <f t="shared" si="6"/>
        <v>2.5795500718100994E-18</v>
      </c>
      <c r="AI14">
        <f t="shared" si="7"/>
        <v>4.2110000000000002E-2</v>
      </c>
      <c r="AM14">
        <f t="shared" si="22"/>
        <v>90</v>
      </c>
      <c r="AO14" s="2">
        <v>99.27</v>
      </c>
      <c r="AQ14">
        <f t="shared" si="8"/>
        <v>6.0810243559389354E-18</v>
      </c>
      <c r="AR14">
        <f t="shared" si="9"/>
        <v>9.9269999999999997E-2</v>
      </c>
      <c r="AV14">
        <f t="shared" si="23"/>
        <v>90</v>
      </c>
      <c r="AX14" s="2">
        <v>51.54</v>
      </c>
      <c r="AZ14">
        <f t="shared" si="10"/>
        <v>3.1572075682995138E-18</v>
      </c>
      <c r="BA14">
        <f t="shared" si="11"/>
        <v>5.1540000000000002E-2</v>
      </c>
      <c r="BE14">
        <f t="shared" si="24"/>
        <v>90</v>
      </c>
      <c r="BG14">
        <v>141.30000000000001</v>
      </c>
      <c r="BI14">
        <f t="shared" si="12"/>
        <v>8.655673833929401E-18</v>
      </c>
      <c r="BJ14">
        <f t="shared" si="13"/>
        <v>0.14130000000000001</v>
      </c>
      <c r="BN14">
        <f t="shared" si="25"/>
        <v>90</v>
      </c>
      <c r="BP14">
        <v>122.1</v>
      </c>
      <c r="BR14">
        <f t="shared" si="14"/>
        <v>7.4795313172171259E-18</v>
      </c>
      <c r="BS14">
        <f t="shared" si="15"/>
        <v>0.1221</v>
      </c>
      <c r="BW14">
        <f t="shared" si="26"/>
        <v>90</v>
      </c>
      <c r="BY14">
        <v>190.1</v>
      </c>
      <c r="CA14">
        <f t="shared" si="16"/>
        <v>1.1645036063906433E-17</v>
      </c>
      <c r="CB14">
        <f t="shared" si="17"/>
        <v>0.19009999999999999</v>
      </c>
    </row>
    <row r="15" spans="1:80" x14ac:dyDescent="0.3">
      <c r="B15" t="s">
        <v>7</v>
      </c>
      <c r="C15">
        <f t="shared" si="18"/>
        <v>100</v>
      </c>
      <c r="E15">
        <v>117</v>
      </c>
      <c r="G15">
        <f t="shared" si="0"/>
        <v>-2.0316836787030848E-2</v>
      </c>
      <c r="H15">
        <f t="shared" si="1"/>
        <v>0.11522250710242835</v>
      </c>
      <c r="L15">
        <f t="shared" si="19"/>
        <v>100</v>
      </c>
      <c r="N15">
        <v>198.7</v>
      </c>
      <c r="P15">
        <f t="shared" si="2"/>
        <v>-3.450389290241905E-2</v>
      </c>
      <c r="Q15">
        <f t="shared" si="3"/>
        <v>0.19568130052352573</v>
      </c>
      <c r="U15">
        <f t="shared" si="20"/>
        <v>100</v>
      </c>
      <c r="W15">
        <v>150.9</v>
      </c>
      <c r="Y15">
        <f t="shared" si="4"/>
        <v>-2.6203510009939784E-2</v>
      </c>
      <c r="Z15">
        <f t="shared" si="5"/>
        <v>0.1486074899295422</v>
      </c>
      <c r="AD15">
        <f t="shared" si="21"/>
        <v>100</v>
      </c>
      <c r="AF15" s="2">
        <v>80.03</v>
      </c>
      <c r="AH15">
        <f t="shared" si="6"/>
        <v>-1.3897063658684433E-2</v>
      </c>
      <c r="AI15">
        <f t="shared" si="7"/>
        <v>7.8814164473567011E-2</v>
      </c>
      <c r="AM15">
        <f t="shared" si="22"/>
        <v>100</v>
      </c>
      <c r="AO15" s="2">
        <v>94.88</v>
      </c>
      <c r="AQ15">
        <f t="shared" si="8"/>
        <v>-1.6475739097038346E-2</v>
      </c>
      <c r="AR15">
        <f t="shared" si="9"/>
        <v>9.3438559605798291E-2</v>
      </c>
      <c r="AV15">
        <f t="shared" si="23"/>
        <v>100</v>
      </c>
      <c r="AX15" s="2">
        <v>88.59</v>
      </c>
      <c r="AZ15">
        <f t="shared" si="10"/>
        <v>-1.5383492059513356E-2</v>
      </c>
      <c r="BA15">
        <f t="shared" si="11"/>
        <v>8.7244118839351514E-2</v>
      </c>
      <c r="BE15">
        <f t="shared" si="24"/>
        <v>100</v>
      </c>
      <c r="BG15">
        <v>184.4</v>
      </c>
      <c r="BI15">
        <f t="shared" si="12"/>
        <v>-3.2020723961781947E-2</v>
      </c>
      <c r="BJ15">
        <f t="shared" si="13"/>
        <v>0.18159854965545116</v>
      </c>
      <c r="BN15">
        <f t="shared" si="25"/>
        <v>100</v>
      </c>
      <c r="BP15">
        <v>167.7</v>
      </c>
      <c r="BR15">
        <f t="shared" si="14"/>
        <v>-2.9120799394744209E-2</v>
      </c>
      <c r="BS15">
        <f t="shared" si="15"/>
        <v>0.16515226018014728</v>
      </c>
      <c r="BW15">
        <f t="shared" si="26"/>
        <v>100</v>
      </c>
      <c r="BY15">
        <v>213.4</v>
      </c>
      <c r="CA15">
        <f t="shared" si="16"/>
        <v>-3.7056521114122928E-2</v>
      </c>
      <c r="CB15">
        <f t="shared" si="17"/>
        <v>0.21015797449280521</v>
      </c>
    </row>
    <row r="16" spans="1:80" x14ac:dyDescent="0.3">
      <c r="B16" t="s">
        <v>8</v>
      </c>
      <c r="C16">
        <f t="shared" si="18"/>
        <v>110</v>
      </c>
      <c r="E16">
        <v>124.5</v>
      </c>
      <c r="G16">
        <f t="shared" si="0"/>
        <v>-4.2581507844045755E-2</v>
      </c>
      <c r="H16">
        <f t="shared" si="1"/>
        <v>0.1169917312878456</v>
      </c>
      <c r="L16">
        <f t="shared" si="19"/>
        <v>110</v>
      </c>
      <c r="N16">
        <v>223.6</v>
      </c>
      <c r="P16">
        <f t="shared" si="2"/>
        <v>-7.6475704047619525E-2</v>
      </c>
      <c r="Q16">
        <f t="shared" si="3"/>
        <v>0.21011527000772912</v>
      </c>
      <c r="U16">
        <f t="shared" si="20"/>
        <v>110</v>
      </c>
      <c r="W16">
        <v>199.7</v>
      </c>
      <c r="Y16">
        <f t="shared" si="4"/>
        <v>-6.8301422622136038E-2</v>
      </c>
      <c r="Z16">
        <f t="shared" si="5"/>
        <v>0.18765661637094591</v>
      </c>
      <c r="AD16">
        <f t="shared" si="21"/>
        <v>110</v>
      </c>
      <c r="AF16">
        <v>134.4</v>
      </c>
      <c r="AH16">
        <f t="shared" si="6"/>
        <v>-4.596750726296988E-2</v>
      </c>
      <c r="AI16">
        <f t="shared" si="7"/>
        <v>0.12629468823362611</v>
      </c>
      <c r="AM16">
        <f t="shared" si="22"/>
        <v>110</v>
      </c>
      <c r="AO16">
        <v>101.8</v>
      </c>
      <c r="AQ16">
        <f t="shared" si="8"/>
        <v>-3.4817650590553077E-2</v>
      </c>
      <c r="AR16">
        <f t="shared" si="9"/>
        <v>9.5660708796005481E-2</v>
      </c>
      <c r="AV16">
        <f t="shared" si="23"/>
        <v>110</v>
      </c>
      <c r="AX16">
        <v>138</v>
      </c>
      <c r="AZ16">
        <f t="shared" si="10"/>
        <v>-4.7198779778942289E-2</v>
      </c>
      <c r="BA16">
        <f t="shared" si="11"/>
        <v>0.12967758166845536</v>
      </c>
      <c r="BE16">
        <f t="shared" si="24"/>
        <v>110</v>
      </c>
      <c r="BG16">
        <v>221.4</v>
      </c>
      <c r="BI16">
        <f t="shared" si="12"/>
        <v>-7.5723259732303053E-2</v>
      </c>
      <c r="BJ16">
        <f t="shared" si="13"/>
        <v>0.20804794624200013</v>
      </c>
      <c r="BN16">
        <f t="shared" si="25"/>
        <v>110</v>
      </c>
      <c r="BP16">
        <v>215.3</v>
      </c>
      <c r="BR16">
        <f t="shared" si="14"/>
        <v>-7.3636936858016477E-2</v>
      </c>
      <c r="BS16">
        <f t="shared" si="15"/>
        <v>0.20231582125520611</v>
      </c>
      <c r="BW16">
        <f t="shared" si="26"/>
        <v>110</v>
      </c>
      <c r="BY16">
        <v>234.9</v>
      </c>
      <c r="CA16">
        <f t="shared" si="16"/>
        <v>-8.034053166719958E-2</v>
      </c>
      <c r="CB16">
        <f t="shared" si="17"/>
        <v>0.22073379662260989</v>
      </c>
    </row>
    <row r="17" spans="2:80" x14ac:dyDescent="0.3">
      <c r="B17" t="s">
        <v>9</v>
      </c>
      <c r="C17">
        <f t="shared" si="18"/>
        <v>120</v>
      </c>
      <c r="E17">
        <v>139.19999999999999</v>
      </c>
      <c r="G17">
        <f t="shared" si="0"/>
        <v>-6.9599999999999967E-2</v>
      </c>
      <c r="H17">
        <f t="shared" si="1"/>
        <v>0.12055073620679387</v>
      </c>
      <c r="L17">
        <f t="shared" si="19"/>
        <v>120</v>
      </c>
      <c r="N17">
        <v>244.4</v>
      </c>
      <c r="P17">
        <f t="shared" si="2"/>
        <v>-0.12219999999999995</v>
      </c>
      <c r="Q17">
        <f t="shared" si="3"/>
        <v>0.21165660868491681</v>
      </c>
      <c r="U17">
        <f t="shared" si="20"/>
        <v>120</v>
      </c>
      <c r="W17">
        <v>243.3</v>
      </c>
      <c r="Y17">
        <f t="shared" si="4"/>
        <v>-0.12164999999999995</v>
      </c>
      <c r="Z17">
        <f t="shared" si="5"/>
        <v>0.21070398074075394</v>
      </c>
      <c r="AD17">
        <f t="shared" si="21"/>
        <v>120</v>
      </c>
      <c r="AF17">
        <v>188.2</v>
      </c>
      <c r="AH17">
        <f t="shared" si="6"/>
        <v>-9.4099999999999948E-2</v>
      </c>
      <c r="AI17">
        <f t="shared" si="7"/>
        <v>0.16298598099223136</v>
      </c>
      <c r="AM17">
        <f t="shared" si="22"/>
        <v>120</v>
      </c>
      <c r="AO17">
        <v>115.9</v>
      </c>
      <c r="AQ17">
        <f t="shared" si="8"/>
        <v>-5.7949999999999974E-2</v>
      </c>
      <c r="AR17">
        <f t="shared" si="9"/>
        <v>0.10037234429861645</v>
      </c>
      <c r="AV17">
        <f t="shared" si="23"/>
        <v>120</v>
      </c>
      <c r="AX17">
        <v>189.9</v>
      </c>
      <c r="AZ17">
        <f t="shared" si="10"/>
        <v>-9.4949999999999965E-2</v>
      </c>
      <c r="BA17">
        <f t="shared" si="11"/>
        <v>0.16445822417866493</v>
      </c>
      <c r="BE17">
        <f t="shared" si="24"/>
        <v>120</v>
      </c>
      <c r="BG17">
        <v>254.7</v>
      </c>
      <c r="BI17">
        <f t="shared" si="12"/>
        <v>-0.12734999999999994</v>
      </c>
      <c r="BJ17">
        <f t="shared" si="13"/>
        <v>0.22057667034389652</v>
      </c>
      <c r="BN17">
        <f t="shared" si="25"/>
        <v>120</v>
      </c>
      <c r="BP17">
        <v>257.7</v>
      </c>
      <c r="BR17">
        <f t="shared" si="14"/>
        <v>-0.12884999999999994</v>
      </c>
      <c r="BS17">
        <f t="shared" si="15"/>
        <v>0.22317474655524985</v>
      </c>
      <c r="BW17">
        <f t="shared" si="26"/>
        <v>120</v>
      </c>
      <c r="BY17">
        <v>245.6</v>
      </c>
      <c r="CA17">
        <f t="shared" si="16"/>
        <v>-0.12279999999999994</v>
      </c>
      <c r="CB17">
        <f t="shared" si="17"/>
        <v>0.21269583916945814</v>
      </c>
    </row>
    <row r="18" spans="2:80" x14ac:dyDescent="0.3">
      <c r="B18" t="s">
        <v>10</v>
      </c>
      <c r="C18">
        <f t="shared" si="18"/>
        <v>130</v>
      </c>
      <c r="E18">
        <v>156.69999999999999</v>
      </c>
      <c r="G18">
        <f t="shared" si="0"/>
        <v>-0.1007248184378807</v>
      </c>
      <c r="H18">
        <f t="shared" si="1"/>
        <v>0.12003916423674384</v>
      </c>
      <c r="L18">
        <f t="shared" si="19"/>
        <v>130</v>
      </c>
      <c r="N18">
        <v>257.8</v>
      </c>
      <c r="P18">
        <f t="shared" si="2"/>
        <v>-0.16571064577718986</v>
      </c>
      <c r="Q18">
        <f t="shared" si="3"/>
        <v>0.19748625743607257</v>
      </c>
      <c r="U18">
        <f t="shared" si="20"/>
        <v>130</v>
      </c>
      <c r="W18">
        <v>279.60000000000002</v>
      </c>
      <c r="Y18">
        <f t="shared" si="4"/>
        <v>-0.17972341566835642</v>
      </c>
      <c r="Z18">
        <f t="shared" si="5"/>
        <v>0.21418602629606626</v>
      </c>
      <c r="AD18">
        <f t="shared" si="21"/>
        <v>130</v>
      </c>
      <c r="AF18">
        <v>237.7</v>
      </c>
      <c r="AH18">
        <f t="shared" si="6"/>
        <v>-0.1527906148224904</v>
      </c>
      <c r="AI18">
        <f t="shared" si="7"/>
        <v>0.18208876412938108</v>
      </c>
      <c r="AM18">
        <f t="shared" si="22"/>
        <v>130</v>
      </c>
      <c r="AO18">
        <v>134.4</v>
      </c>
      <c r="AQ18">
        <f t="shared" si="8"/>
        <v>-8.6390654741870909E-2</v>
      </c>
      <c r="AR18">
        <f t="shared" si="9"/>
        <v>0.10295637315519066</v>
      </c>
      <c r="AV18">
        <f t="shared" si="23"/>
        <v>130</v>
      </c>
      <c r="AX18">
        <v>235.7</v>
      </c>
      <c r="AZ18">
        <f t="shared" si="10"/>
        <v>-0.15150503960311731</v>
      </c>
      <c r="BA18">
        <f t="shared" si="11"/>
        <v>0.18055667524314312</v>
      </c>
      <c r="BE18">
        <f t="shared" si="24"/>
        <v>130</v>
      </c>
      <c r="BG18">
        <v>277.8</v>
      </c>
      <c r="BI18">
        <f t="shared" si="12"/>
        <v>-0.17856639797092064</v>
      </c>
      <c r="BJ18">
        <f t="shared" si="13"/>
        <v>0.2128071462984521</v>
      </c>
      <c r="BN18">
        <f t="shared" si="25"/>
        <v>130</v>
      </c>
      <c r="BP18">
        <v>285.2</v>
      </c>
      <c r="BR18">
        <f t="shared" si="14"/>
        <v>-0.18332302628260103</v>
      </c>
      <c r="BS18">
        <f t="shared" si="15"/>
        <v>0.21847587517753253</v>
      </c>
      <c r="BW18">
        <f t="shared" si="26"/>
        <v>130</v>
      </c>
      <c r="BY18">
        <v>250</v>
      </c>
      <c r="CA18">
        <f t="shared" si="16"/>
        <v>-0.16069690242163484</v>
      </c>
      <c r="CB18">
        <f t="shared" si="17"/>
        <v>0.1915111107797445</v>
      </c>
    </row>
    <row r="19" spans="2:80" x14ac:dyDescent="0.3">
      <c r="B19" t="s">
        <v>11</v>
      </c>
      <c r="C19">
        <f t="shared" si="18"/>
        <v>140</v>
      </c>
      <c r="E19">
        <v>172.8</v>
      </c>
      <c r="G19">
        <f t="shared" si="0"/>
        <v>-0.13237247977095939</v>
      </c>
      <c r="H19">
        <f t="shared" si="1"/>
        <v>0.11107369895383402</v>
      </c>
      <c r="L19">
        <f t="shared" si="19"/>
        <v>140</v>
      </c>
      <c r="N19">
        <v>259.8</v>
      </c>
      <c r="P19">
        <f t="shared" si="2"/>
        <v>-0.1990183463223105</v>
      </c>
      <c r="Q19">
        <f t="shared" si="3"/>
        <v>0.16699622099656297</v>
      </c>
      <c r="U19">
        <f t="shared" si="20"/>
        <v>140</v>
      </c>
      <c r="W19">
        <v>298.7</v>
      </c>
      <c r="Y19">
        <f t="shared" si="4"/>
        <v>-0.22881747515963868</v>
      </c>
      <c r="Z19">
        <f t="shared" si="5"/>
        <v>0.19200065901336932</v>
      </c>
      <c r="AD19">
        <f t="shared" si="21"/>
        <v>140</v>
      </c>
      <c r="AF19">
        <v>281.60000000000002</v>
      </c>
      <c r="AH19">
        <f t="shared" si="6"/>
        <v>-0.21571811518230419</v>
      </c>
      <c r="AI19">
        <f t="shared" si="7"/>
        <v>0.18100899088772954</v>
      </c>
      <c r="AM19">
        <f t="shared" si="22"/>
        <v>140</v>
      </c>
      <c r="AO19">
        <v>157.69999999999999</v>
      </c>
      <c r="AQ19">
        <f t="shared" si="8"/>
        <v>-0.1208052086798628</v>
      </c>
      <c r="AR19">
        <f t="shared" si="9"/>
        <v>0.10136760604756725</v>
      </c>
      <c r="AV19">
        <f t="shared" si="23"/>
        <v>140</v>
      </c>
      <c r="AX19">
        <v>278.5</v>
      </c>
      <c r="AZ19">
        <f t="shared" si="10"/>
        <v>-0.21334337740863538</v>
      </c>
      <c r="BA19">
        <f t="shared" si="11"/>
        <v>0.17901634929770127</v>
      </c>
      <c r="BE19">
        <f t="shared" si="24"/>
        <v>140</v>
      </c>
      <c r="BG19">
        <v>282.10000000000002</v>
      </c>
      <c r="BI19">
        <f t="shared" si="12"/>
        <v>-0.21610113740386369</v>
      </c>
      <c r="BJ19">
        <f t="shared" si="13"/>
        <v>0.18133038469257279</v>
      </c>
      <c r="BN19">
        <f t="shared" si="25"/>
        <v>140</v>
      </c>
      <c r="BP19">
        <v>300.39999999999998</v>
      </c>
      <c r="BR19">
        <f t="shared" si="14"/>
        <v>-0.23011975071294097</v>
      </c>
      <c r="BS19">
        <f t="shared" si="15"/>
        <v>0.19309339794983646</v>
      </c>
      <c r="BW19">
        <f t="shared" si="26"/>
        <v>140</v>
      </c>
      <c r="BY19">
        <v>241.7</v>
      </c>
      <c r="CA19">
        <f t="shared" si="16"/>
        <v>-0.18515294190185697</v>
      </c>
      <c r="CB19">
        <f t="shared" si="17"/>
        <v>0.1553617652612366</v>
      </c>
    </row>
    <row r="20" spans="2:80" x14ac:dyDescent="0.3">
      <c r="B20" t="s">
        <v>12</v>
      </c>
      <c r="C20">
        <f t="shared" si="18"/>
        <v>150</v>
      </c>
      <c r="E20">
        <v>200.8</v>
      </c>
      <c r="G20">
        <f t="shared" si="0"/>
        <v>-0.17389790107991529</v>
      </c>
      <c r="H20">
        <f t="shared" si="1"/>
        <v>0.10039999999999999</v>
      </c>
      <c r="L20">
        <f t="shared" si="19"/>
        <v>150</v>
      </c>
      <c r="N20">
        <v>250</v>
      </c>
      <c r="P20">
        <f t="shared" si="2"/>
        <v>-0.21650635094610968</v>
      </c>
      <c r="Q20">
        <f t="shared" si="3"/>
        <v>0.12499999999999999</v>
      </c>
      <c r="U20">
        <f t="shared" si="20"/>
        <v>150</v>
      </c>
      <c r="W20">
        <v>309.10000000000002</v>
      </c>
      <c r="Y20">
        <f t="shared" si="4"/>
        <v>-0.26768845230977006</v>
      </c>
      <c r="Z20">
        <f t="shared" si="5"/>
        <v>0.15454999999999999</v>
      </c>
      <c r="AD20">
        <f t="shared" si="21"/>
        <v>150</v>
      </c>
      <c r="AF20">
        <v>315.3</v>
      </c>
      <c r="AH20">
        <f t="shared" si="6"/>
        <v>-0.27305780981323352</v>
      </c>
      <c r="AI20">
        <f t="shared" si="7"/>
        <v>0.15764999999999998</v>
      </c>
      <c r="AM20">
        <f t="shared" si="22"/>
        <v>150</v>
      </c>
      <c r="AO20">
        <v>183.9</v>
      </c>
      <c r="AQ20">
        <f t="shared" si="8"/>
        <v>-0.15926207175595827</v>
      </c>
      <c r="AR20">
        <f t="shared" si="9"/>
        <v>9.194999999999999E-2</v>
      </c>
      <c r="AV20">
        <f t="shared" si="23"/>
        <v>150</v>
      </c>
      <c r="AX20">
        <v>302.10000000000002</v>
      </c>
      <c r="AZ20">
        <f t="shared" si="10"/>
        <v>-0.26162627448327896</v>
      </c>
      <c r="BA20">
        <f t="shared" si="11"/>
        <v>0.15104999999999999</v>
      </c>
      <c r="BE20">
        <f t="shared" si="24"/>
        <v>150</v>
      </c>
      <c r="BG20">
        <v>278.60000000000002</v>
      </c>
      <c r="BI20">
        <f t="shared" si="12"/>
        <v>-0.24127467749434464</v>
      </c>
      <c r="BJ20">
        <f t="shared" si="13"/>
        <v>0.13929999999999998</v>
      </c>
      <c r="BN20">
        <f t="shared" si="25"/>
        <v>150</v>
      </c>
      <c r="BP20">
        <v>301.7</v>
      </c>
      <c r="BR20">
        <f t="shared" si="14"/>
        <v>-0.26127986432176514</v>
      </c>
      <c r="BS20">
        <f t="shared" si="15"/>
        <v>0.15084999999999996</v>
      </c>
      <c r="BW20">
        <f t="shared" si="26"/>
        <v>150</v>
      </c>
      <c r="BY20">
        <v>227.8</v>
      </c>
      <c r="CA20">
        <f t="shared" si="16"/>
        <v>-0.19728058698209514</v>
      </c>
      <c r="CB20">
        <f t="shared" si="17"/>
        <v>0.11389999999999999</v>
      </c>
    </row>
    <row r="21" spans="2:80" x14ac:dyDescent="0.3">
      <c r="B21" t="s">
        <v>13</v>
      </c>
      <c r="C21">
        <f t="shared" si="18"/>
        <v>160</v>
      </c>
      <c r="E21">
        <v>206.7</v>
      </c>
      <c r="G21">
        <f t="shared" si="0"/>
        <v>-0.19423446471644723</v>
      </c>
      <c r="H21">
        <f t="shared" si="1"/>
        <v>7.069556362541575E-2</v>
      </c>
      <c r="L21">
        <f t="shared" si="19"/>
        <v>160</v>
      </c>
      <c r="N21">
        <v>233.3</v>
      </c>
      <c r="P21">
        <f t="shared" si="2"/>
        <v>-0.21923028842935241</v>
      </c>
      <c r="Q21">
        <f t="shared" si="3"/>
        <v>7.9793299437878551E-2</v>
      </c>
      <c r="U21">
        <f t="shared" si="20"/>
        <v>160</v>
      </c>
      <c r="W21">
        <v>297.60000000000002</v>
      </c>
      <c r="Y21">
        <f t="shared" si="4"/>
        <v>-0.27965252394588636</v>
      </c>
      <c r="Z21">
        <f t="shared" si="5"/>
        <v>0.10178519465371907</v>
      </c>
      <c r="AD21">
        <f t="shared" si="21"/>
        <v>160</v>
      </c>
      <c r="AF21">
        <v>325.60000000000002</v>
      </c>
      <c r="AH21">
        <f t="shared" si="6"/>
        <v>-0.30596391732789174</v>
      </c>
      <c r="AI21">
        <f t="shared" si="7"/>
        <v>0.11136175866683778</v>
      </c>
      <c r="AM21">
        <f t="shared" si="22"/>
        <v>160</v>
      </c>
      <c r="AO21">
        <v>204.3</v>
      </c>
      <c r="AQ21">
        <f t="shared" si="8"/>
        <v>-0.19197920242656108</v>
      </c>
      <c r="AR21">
        <f t="shared" si="9"/>
        <v>6.9874715281434158E-2</v>
      </c>
      <c r="AV21">
        <f t="shared" si="23"/>
        <v>160</v>
      </c>
      <c r="AX21">
        <v>310.89999999999998</v>
      </c>
      <c r="AZ21">
        <f t="shared" si="10"/>
        <v>-0.29215043580233885</v>
      </c>
      <c r="BA21">
        <f t="shared" si="11"/>
        <v>0.10633406255995044</v>
      </c>
      <c r="BE21">
        <f t="shared" si="24"/>
        <v>160</v>
      </c>
      <c r="BG21">
        <v>256.89999999999998</v>
      </c>
      <c r="BI21">
        <f t="shared" si="12"/>
        <v>-0.24140703427989982</v>
      </c>
      <c r="BJ21">
        <f t="shared" si="13"/>
        <v>8.7864974820364317E-2</v>
      </c>
      <c r="BN21">
        <f t="shared" si="25"/>
        <v>160</v>
      </c>
      <c r="BP21">
        <v>283.3</v>
      </c>
      <c r="BR21">
        <f t="shared" si="14"/>
        <v>-0.26621491946864784</v>
      </c>
      <c r="BS21">
        <f t="shared" si="15"/>
        <v>9.6894306604161998E-2</v>
      </c>
      <c r="BW21">
        <f t="shared" si="26"/>
        <v>160</v>
      </c>
      <c r="BY21">
        <v>204.4</v>
      </c>
      <c r="CA21">
        <f t="shared" si="16"/>
        <v>-0.19207317168863966</v>
      </c>
      <c r="CB21">
        <f t="shared" si="17"/>
        <v>6.9908917295766718E-2</v>
      </c>
    </row>
    <row r="22" spans="2:80" x14ac:dyDescent="0.3">
      <c r="B22" t="s">
        <v>14</v>
      </c>
      <c r="C22">
        <f t="shared" si="18"/>
        <v>170</v>
      </c>
      <c r="E22">
        <v>217.2</v>
      </c>
      <c r="G22">
        <f t="shared" si="0"/>
        <v>-0.21390024395425156</v>
      </c>
      <c r="H22">
        <f t="shared" si="1"/>
        <v>3.7716384189257254E-2</v>
      </c>
      <c r="L22">
        <f t="shared" si="19"/>
        <v>170</v>
      </c>
      <c r="N22">
        <v>205.3</v>
      </c>
      <c r="P22">
        <f t="shared" si="2"/>
        <v>-0.20218103169340632</v>
      </c>
      <c r="Q22">
        <f t="shared" si="3"/>
        <v>3.5649970875020788E-2</v>
      </c>
      <c r="U22">
        <f t="shared" si="20"/>
        <v>170</v>
      </c>
      <c r="W22">
        <v>275.5</v>
      </c>
      <c r="Y22">
        <f t="shared" si="4"/>
        <v>-0.27131453595486332</v>
      </c>
      <c r="Z22">
        <f t="shared" si="5"/>
        <v>4.7840072947239298E-2</v>
      </c>
      <c r="AD22">
        <f t="shared" si="21"/>
        <v>170</v>
      </c>
      <c r="AF22">
        <v>313.39999999999998</v>
      </c>
      <c r="AH22">
        <f t="shared" si="6"/>
        <v>-0.30863874979402595</v>
      </c>
      <c r="AI22">
        <f t="shared" si="7"/>
        <v>5.4421338880815941E-2</v>
      </c>
      <c r="AM22">
        <f t="shared" si="22"/>
        <v>170</v>
      </c>
      <c r="AO22">
        <v>209.8</v>
      </c>
      <c r="AQ22">
        <f t="shared" si="8"/>
        <v>-0.20661266658196126</v>
      </c>
      <c r="AR22">
        <f t="shared" si="9"/>
        <v>3.6431387674521976E-2</v>
      </c>
      <c r="AV22">
        <f t="shared" si="23"/>
        <v>170</v>
      </c>
      <c r="AX22">
        <v>299.89999999999998</v>
      </c>
      <c r="AZ22">
        <f t="shared" si="10"/>
        <v>-0.2953438451283612</v>
      </c>
      <c r="BA22">
        <f t="shared" si="11"/>
        <v>5.2077088482312392E-2</v>
      </c>
      <c r="BE22">
        <f t="shared" si="24"/>
        <v>170</v>
      </c>
      <c r="BG22">
        <v>225.6</v>
      </c>
      <c r="BI22">
        <f t="shared" si="12"/>
        <v>-0.22217262907955412</v>
      </c>
      <c r="BJ22">
        <f t="shared" si="13"/>
        <v>3.9175028881659468E-2</v>
      </c>
      <c r="BN22">
        <f t="shared" si="25"/>
        <v>170</v>
      </c>
      <c r="BP22">
        <v>255.6</v>
      </c>
      <c r="BR22">
        <f t="shared" si="14"/>
        <v>-0.25171686166992036</v>
      </c>
      <c r="BS22">
        <f t="shared" si="15"/>
        <v>4.4384474211667378E-2</v>
      </c>
      <c r="BW22">
        <f t="shared" si="26"/>
        <v>170</v>
      </c>
      <c r="BY22">
        <v>179.6</v>
      </c>
      <c r="CA22">
        <f t="shared" si="16"/>
        <v>-0.17687147244099255</v>
      </c>
      <c r="CB22">
        <f t="shared" si="17"/>
        <v>3.1187212708980675E-2</v>
      </c>
    </row>
    <row r="23" spans="2:80" x14ac:dyDescent="0.3">
      <c r="B23" t="s">
        <v>15</v>
      </c>
      <c r="C23">
        <f t="shared" si="18"/>
        <v>180</v>
      </c>
      <c r="E23">
        <v>221.6</v>
      </c>
      <c r="G23">
        <f t="shared" si="0"/>
        <v>-0.22159999999999999</v>
      </c>
      <c r="H23">
        <f t="shared" si="1"/>
        <v>2.7149289760775018E-17</v>
      </c>
      <c r="L23">
        <f t="shared" si="19"/>
        <v>180</v>
      </c>
      <c r="N23">
        <v>178.2</v>
      </c>
      <c r="P23">
        <f t="shared" si="2"/>
        <v>-0.1782</v>
      </c>
      <c r="Q23">
        <f t="shared" si="3"/>
        <v>2.1832145466471607E-17</v>
      </c>
      <c r="U23">
        <f t="shared" si="20"/>
        <v>180</v>
      </c>
      <c r="W23">
        <v>233.2</v>
      </c>
      <c r="Y23">
        <f t="shared" si="4"/>
        <v>-0.23319999999999999</v>
      </c>
      <c r="Z23">
        <f t="shared" si="5"/>
        <v>2.8570461968469015E-17</v>
      </c>
      <c r="AD23">
        <f t="shared" si="21"/>
        <v>180</v>
      </c>
      <c r="AF23">
        <v>279.89999999999998</v>
      </c>
      <c r="AH23">
        <f t="shared" si="6"/>
        <v>-0.27989999999999998</v>
      </c>
      <c r="AI23">
        <f t="shared" si="7"/>
        <v>3.4291905252892272E-17</v>
      </c>
      <c r="AM23">
        <f t="shared" si="22"/>
        <v>180</v>
      </c>
      <c r="AO23">
        <v>222.7</v>
      </c>
      <c r="AQ23">
        <f t="shared" si="8"/>
        <v>-0.22269999999999998</v>
      </c>
      <c r="AR23">
        <f t="shared" si="9"/>
        <v>2.7284056090814966E-17</v>
      </c>
      <c r="AV23">
        <f t="shared" si="23"/>
        <v>180</v>
      </c>
      <c r="AX23">
        <v>277.60000000000002</v>
      </c>
      <c r="AZ23">
        <f t="shared" si="10"/>
        <v>-0.27760000000000001</v>
      </c>
      <c r="BA23">
        <f t="shared" si="11"/>
        <v>3.401012110826329E-17</v>
      </c>
      <c r="BE23">
        <f t="shared" si="24"/>
        <v>180</v>
      </c>
      <c r="BG23">
        <v>187.6</v>
      </c>
      <c r="BI23">
        <f t="shared" si="12"/>
        <v>-0.18759999999999999</v>
      </c>
      <c r="BJ23">
        <f t="shared" si="13"/>
        <v>2.2983785014085711E-17</v>
      </c>
      <c r="BN23">
        <f t="shared" si="25"/>
        <v>180</v>
      </c>
      <c r="BP23">
        <v>210.5</v>
      </c>
      <c r="BR23">
        <f t="shared" si="14"/>
        <v>-0.21049999999999999</v>
      </c>
      <c r="BS23">
        <f t="shared" si="15"/>
        <v>2.5789374975826449E-17</v>
      </c>
      <c r="BW23">
        <f t="shared" si="26"/>
        <v>180</v>
      </c>
      <c r="BY23">
        <v>152.9</v>
      </c>
      <c r="CA23">
        <f t="shared" si="16"/>
        <v>-0.15290000000000001</v>
      </c>
      <c r="CB23">
        <f t="shared" si="17"/>
        <v>1.8732519875552802E-17</v>
      </c>
    </row>
    <row r="24" spans="2:80" x14ac:dyDescent="0.3">
      <c r="B24" t="s">
        <v>16</v>
      </c>
      <c r="C24">
        <f t="shared" si="18"/>
        <v>190</v>
      </c>
      <c r="E24">
        <v>222.3</v>
      </c>
      <c r="G24">
        <f t="shared" si="0"/>
        <v>-0.21892276349461384</v>
      </c>
      <c r="H24">
        <f t="shared" si="1"/>
        <v>-3.8601989895358645E-2</v>
      </c>
      <c r="L24">
        <f t="shared" si="19"/>
        <v>190</v>
      </c>
      <c r="N24">
        <v>148.30000000000001</v>
      </c>
      <c r="P24">
        <f t="shared" si="2"/>
        <v>-0.14604698977171046</v>
      </c>
      <c r="Q24">
        <f t="shared" si="3"/>
        <v>-2.5752024748005791E-2</v>
      </c>
      <c r="U24">
        <f t="shared" si="20"/>
        <v>190</v>
      </c>
      <c r="W24">
        <v>190.9</v>
      </c>
      <c r="Y24">
        <f t="shared" si="4"/>
        <v>-0.18799980005003053</v>
      </c>
      <c r="Z24">
        <f t="shared" si="5"/>
        <v>-3.3149437116617032E-2</v>
      </c>
      <c r="AD24">
        <f t="shared" si="21"/>
        <v>190</v>
      </c>
      <c r="AF24">
        <v>245</v>
      </c>
      <c r="AH24">
        <f t="shared" si="6"/>
        <v>-0.24127789948799097</v>
      </c>
      <c r="AI24">
        <f t="shared" si="7"/>
        <v>-4.2543803528397962E-2</v>
      </c>
      <c r="AM24">
        <f t="shared" si="22"/>
        <v>190</v>
      </c>
      <c r="AO24">
        <v>227.5</v>
      </c>
      <c r="AQ24">
        <f t="shared" si="8"/>
        <v>-0.22404376381027732</v>
      </c>
      <c r="AR24">
        <f t="shared" si="9"/>
        <v>-3.950496041922668E-2</v>
      </c>
      <c r="AV24">
        <f t="shared" si="23"/>
        <v>190</v>
      </c>
      <c r="AX24">
        <v>237.2</v>
      </c>
      <c r="AZ24">
        <f t="shared" si="10"/>
        <v>-0.23359639901449575</v>
      </c>
      <c r="BA24">
        <f t="shared" si="11"/>
        <v>-4.118934774259591E-2</v>
      </c>
      <c r="BE24">
        <f t="shared" si="24"/>
        <v>190</v>
      </c>
      <c r="BG24">
        <v>144.1</v>
      </c>
      <c r="BI24">
        <f t="shared" si="12"/>
        <v>-0.14191079720905919</v>
      </c>
      <c r="BJ24">
        <f t="shared" si="13"/>
        <v>-2.5022702401804681E-2</v>
      </c>
      <c r="BN24">
        <f t="shared" si="25"/>
        <v>190</v>
      </c>
      <c r="BP24">
        <v>163.4</v>
      </c>
      <c r="BR24">
        <f t="shared" si="14"/>
        <v>-0.16091758684219482</v>
      </c>
      <c r="BS24">
        <f t="shared" si="15"/>
        <v>-2.8374112230776443E-2</v>
      </c>
      <c r="BW24">
        <f t="shared" si="26"/>
        <v>190</v>
      </c>
      <c r="BY24">
        <v>126.1</v>
      </c>
      <c r="CA24">
        <f t="shared" si="16"/>
        <v>-0.12418425765483943</v>
      </c>
      <c r="CB24">
        <f t="shared" si="17"/>
        <v>-2.1897035203799931E-2</v>
      </c>
    </row>
    <row r="25" spans="2:80" x14ac:dyDescent="0.3">
      <c r="B25" t="s">
        <v>17</v>
      </c>
      <c r="C25">
        <f t="shared" si="18"/>
        <v>200</v>
      </c>
      <c r="E25">
        <v>218.4</v>
      </c>
      <c r="G25">
        <f t="shared" si="0"/>
        <v>-0.20522886837964241</v>
      </c>
      <c r="H25">
        <f t="shared" si="1"/>
        <v>-7.4697199302326045E-2</v>
      </c>
      <c r="L25">
        <f t="shared" si="19"/>
        <v>200</v>
      </c>
      <c r="N25">
        <v>127.1</v>
      </c>
      <c r="P25">
        <f t="shared" si="2"/>
        <v>-0.11943493210188895</v>
      </c>
      <c r="Q25">
        <f t="shared" si="3"/>
        <v>-4.3470760216692481E-2</v>
      </c>
      <c r="U25">
        <f t="shared" si="20"/>
        <v>200</v>
      </c>
      <c r="W25">
        <v>141.69999999999999</v>
      </c>
      <c r="Y25">
        <f t="shared" si="4"/>
        <v>-0.13315444436536322</v>
      </c>
      <c r="Z25">
        <f t="shared" si="5"/>
        <v>-4.8464254309247244E-2</v>
      </c>
      <c r="AD25">
        <f t="shared" si="21"/>
        <v>200</v>
      </c>
      <c r="AF25">
        <v>200.5</v>
      </c>
      <c r="AH25">
        <f t="shared" si="6"/>
        <v>-0.18840837046757464</v>
      </c>
      <c r="AI25">
        <f t="shared" si="7"/>
        <v>-6.8575038736796573E-2</v>
      </c>
      <c r="AM25">
        <f t="shared" si="22"/>
        <v>200</v>
      </c>
      <c r="AO25">
        <v>223.1</v>
      </c>
      <c r="AQ25">
        <f t="shared" si="8"/>
        <v>-0.20964542369733616</v>
      </c>
      <c r="AR25">
        <f t="shared" si="9"/>
        <v>-7.6304693975956669E-2</v>
      </c>
      <c r="AV25">
        <f t="shared" si="23"/>
        <v>200</v>
      </c>
      <c r="AX25">
        <v>187.3</v>
      </c>
      <c r="AZ25">
        <f t="shared" si="10"/>
        <v>-0.17600442787320067</v>
      </c>
      <c r="BA25">
        <f t="shared" si="11"/>
        <v>-6.4060372844897753E-2</v>
      </c>
      <c r="BE25">
        <f t="shared" si="24"/>
        <v>200</v>
      </c>
      <c r="BG25">
        <v>110</v>
      </c>
      <c r="BI25">
        <f t="shared" si="12"/>
        <v>-0.10336618828644993</v>
      </c>
      <c r="BJ25">
        <f t="shared" si="13"/>
        <v>-3.7622215765823551E-2</v>
      </c>
      <c r="BN25">
        <f t="shared" si="25"/>
        <v>200</v>
      </c>
      <c r="BP25">
        <v>120.8</v>
      </c>
      <c r="BR25">
        <f t="shared" si="14"/>
        <v>-0.11351486859093773</v>
      </c>
      <c r="BS25">
        <f t="shared" si="15"/>
        <v>-4.1316033313740771E-2</v>
      </c>
      <c r="BW25">
        <f t="shared" si="26"/>
        <v>200</v>
      </c>
      <c r="BY25">
        <v>103.6</v>
      </c>
      <c r="CA25">
        <f t="shared" si="16"/>
        <v>-9.7352155513420108E-2</v>
      </c>
      <c r="CB25">
        <f t="shared" si="17"/>
        <v>-3.5433286848539275E-2</v>
      </c>
    </row>
    <row r="26" spans="2:80" x14ac:dyDescent="0.3">
      <c r="B26" t="s">
        <v>18</v>
      </c>
      <c r="C26">
        <f t="shared" si="18"/>
        <v>210</v>
      </c>
      <c r="E26">
        <v>204.3</v>
      </c>
      <c r="G26">
        <f t="shared" si="0"/>
        <v>-0.17692898999316081</v>
      </c>
      <c r="H26">
        <f t="shared" si="1"/>
        <v>-0.10215000000000003</v>
      </c>
      <c r="L26">
        <f t="shared" si="19"/>
        <v>210</v>
      </c>
      <c r="N26">
        <v>105.6</v>
      </c>
      <c r="P26">
        <f t="shared" si="2"/>
        <v>-9.1452282639636714E-2</v>
      </c>
      <c r="Q26">
        <f t="shared" si="3"/>
        <v>-5.2800000000000014E-2</v>
      </c>
      <c r="U26">
        <f t="shared" si="20"/>
        <v>210</v>
      </c>
      <c r="W26">
        <v>100.5</v>
      </c>
      <c r="Y26">
        <f t="shared" si="4"/>
        <v>-8.7035553080336087E-2</v>
      </c>
      <c r="Z26">
        <f t="shared" si="5"/>
        <v>-5.0250000000000017E-2</v>
      </c>
      <c r="AD26">
        <f t="shared" si="21"/>
        <v>210</v>
      </c>
      <c r="AF26">
        <v>148.30000000000001</v>
      </c>
      <c r="AH26">
        <f t="shared" si="6"/>
        <v>-0.12843156738123226</v>
      </c>
      <c r="AI26">
        <f t="shared" si="7"/>
        <v>-7.4150000000000021E-2</v>
      </c>
      <c r="AM26">
        <f t="shared" si="22"/>
        <v>210</v>
      </c>
      <c r="AO26">
        <v>210.6</v>
      </c>
      <c r="AQ26">
        <f t="shared" si="8"/>
        <v>-0.18238495003700275</v>
      </c>
      <c r="AR26">
        <f t="shared" si="9"/>
        <v>-0.10530000000000002</v>
      </c>
      <c r="AV26">
        <f t="shared" si="23"/>
        <v>210</v>
      </c>
      <c r="AX26">
        <v>139.1</v>
      </c>
      <c r="AZ26">
        <f t="shared" si="10"/>
        <v>-0.12046413366641541</v>
      </c>
      <c r="BA26">
        <f t="shared" si="11"/>
        <v>-6.9550000000000015E-2</v>
      </c>
      <c r="BE26">
        <f t="shared" si="24"/>
        <v>210</v>
      </c>
      <c r="BG26" s="2">
        <v>74.38</v>
      </c>
      <c r="BI26">
        <f t="shared" si="12"/>
        <v>-6.4414969533486549E-2</v>
      </c>
      <c r="BJ26">
        <f t="shared" si="13"/>
        <v>-3.7190000000000008E-2</v>
      </c>
      <c r="BN26">
        <f t="shared" si="25"/>
        <v>210</v>
      </c>
      <c r="BP26" s="2">
        <v>77.41</v>
      </c>
      <c r="BR26">
        <f t="shared" si="14"/>
        <v>-6.7039026506953384E-2</v>
      </c>
      <c r="BS26">
        <f t="shared" si="15"/>
        <v>-3.8705000000000003E-2</v>
      </c>
      <c r="BW26">
        <f t="shared" si="26"/>
        <v>210</v>
      </c>
      <c r="BY26" s="2">
        <v>90.1</v>
      </c>
      <c r="CA26">
        <f t="shared" si="16"/>
        <v>-7.802888888097792E-2</v>
      </c>
      <c r="CB26">
        <f t="shared" si="17"/>
        <v>-4.5050000000000007E-2</v>
      </c>
    </row>
    <row r="27" spans="2:80" x14ac:dyDescent="0.3">
      <c r="B27" t="s">
        <v>19</v>
      </c>
      <c r="C27">
        <f t="shared" si="18"/>
        <v>220</v>
      </c>
      <c r="E27">
        <v>193.8</v>
      </c>
      <c r="G27">
        <f t="shared" si="0"/>
        <v>-0.14845941307645794</v>
      </c>
      <c r="H27">
        <f t="shared" si="1"/>
        <v>-0.12457223875725131</v>
      </c>
      <c r="L27">
        <f t="shared" si="19"/>
        <v>220</v>
      </c>
      <c r="N27" s="4">
        <v>92.56</v>
      </c>
      <c r="P27">
        <f t="shared" si="2"/>
        <v>-7.0905073655092604E-2</v>
      </c>
      <c r="Q27">
        <f t="shared" si="3"/>
        <v>-5.9496421152586076E-2</v>
      </c>
      <c r="U27">
        <f t="shared" si="20"/>
        <v>220</v>
      </c>
      <c r="W27" s="2">
        <v>62.04</v>
      </c>
      <c r="Y27">
        <f t="shared" si="4"/>
        <v>-4.7525397251101394E-2</v>
      </c>
      <c r="Z27">
        <f t="shared" si="5"/>
        <v>-3.9878543304952892E-2</v>
      </c>
      <c r="AD27">
        <f t="shared" si="21"/>
        <v>220</v>
      </c>
      <c r="AF27" s="2">
        <v>98.7</v>
      </c>
      <c r="AH27">
        <f t="shared" si="6"/>
        <v>-7.5608586535843125E-2</v>
      </c>
      <c r="AI27">
        <f t="shared" si="7"/>
        <v>-6.3443137076061418E-2</v>
      </c>
      <c r="AM27">
        <f t="shared" si="22"/>
        <v>220</v>
      </c>
      <c r="AO27">
        <v>195</v>
      </c>
      <c r="AQ27">
        <f t="shared" si="8"/>
        <v>-0.14937866640820072</v>
      </c>
      <c r="AR27">
        <f t="shared" si="9"/>
        <v>-0.12534358388887515</v>
      </c>
      <c r="AV27">
        <f t="shared" si="23"/>
        <v>220</v>
      </c>
      <c r="AX27" s="2">
        <v>87.26</v>
      </c>
      <c r="AZ27">
        <f t="shared" si="10"/>
        <v>-6.6845038106562019E-2</v>
      </c>
      <c r="BA27">
        <f t="shared" si="11"/>
        <v>-5.6089646821247417E-2</v>
      </c>
      <c r="BE27">
        <f t="shared" si="24"/>
        <v>220</v>
      </c>
      <c r="BG27" s="2">
        <v>55.31</v>
      </c>
      <c r="BI27">
        <f t="shared" si="12"/>
        <v>-4.2369918148910675E-2</v>
      </c>
      <c r="BJ27">
        <f t="shared" si="13"/>
        <v>-3.5552582691762487E-2</v>
      </c>
      <c r="BN27">
        <f t="shared" si="25"/>
        <v>220</v>
      </c>
      <c r="BP27" s="2">
        <v>47.88</v>
      </c>
      <c r="BR27">
        <f t="shared" si="14"/>
        <v>-3.6678207936536672E-2</v>
      </c>
      <c r="BS27">
        <f t="shared" si="15"/>
        <v>-3.0776670751791503E-2</v>
      </c>
      <c r="BW27">
        <f t="shared" si="26"/>
        <v>220</v>
      </c>
      <c r="BY27" s="2">
        <v>84.79</v>
      </c>
      <c r="CA27">
        <f t="shared" si="16"/>
        <v>-6.4952908332058149E-2</v>
      </c>
      <c r="CB27">
        <f t="shared" si="17"/>
        <v>-5.4501961425321668E-2</v>
      </c>
    </row>
    <row r="28" spans="2:80" x14ac:dyDescent="0.3">
      <c r="B28" t="s">
        <v>20</v>
      </c>
      <c r="C28">
        <f t="shared" si="18"/>
        <v>230</v>
      </c>
      <c r="E28">
        <v>168.9</v>
      </c>
      <c r="G28">
        <f t="shared" si="0"/>
        <v>-0.10856682727605652</v>
      </c>
      <c r="H28">
        <f t="shared" si="1"/>
        <v>-0.12938490644279535</v>
      </c>
      <c r="L28">
        <f t="shared" si="19"/>
        <v>230</v>
      </c>
      <c r="N28" s="4">
        <v>88.09</v>
      </c>
      <c r="P28">
        <f t="shared" si="2"/>
        <v>-5.6623160537287262E-2</v>
      </c>
      <c r="Q28">
        <f t="shared" si="3"/>
        <v>-6.7480854994350761E-2</v>
      </c>
      <c r="U28">
        <f t="shared" si="20"/>
        <v>230</v>
      </c>
      <c r="W28" s="2">
        <v>39.79</v>
      </c>
      <c r="Y28">
        <f t="shared" si="4"/>
        <v>-2.5576518989427404E-2</v>
      </c>
      <c r="Z28">
        <f t="shared" si="5"/>
        <v>-3.0480908391704128E-2</v>
      </c>
      <c r="AD28">
        <f t="shared" si="21"/>
        <v>230</v>
      </c>
      <c r="AF28" s="2">
        <v>55.23</v>
      </c>
      <c r="AH28">
        <f t="shared" si="6"/>
        <v>-3.5501159682987574E-2</v>
      </c>
      <c r="AI28">
        <f t="shared" si="7"/>
        <v>-4.2308634593461146E-2</v>
      </c>
      <c r="AM28">
        <f t="shared" si="22"/>
        <v>230</v>
      </c>
      <c r="AO28">
        <v>171.7</v>
      </c>
      <c r="AQ28">
        <f t="shared" si="8"/>
        <v>-0.11036663258317882</v>
      </c>
      <c r="AR28">
        <f t="shared" si="9"/>
        <v>-0.13152983088352849</v>
      </c>
      <c r="AV28">
        <f t="shared" si="23"/>
        <v>230</v>
      </c>
      <c r="AX28" s="2">
        <v>48.73</v>
      </c>
      <c r="AZ28">
        <f t="shared" si="10"/>
        <v>-3.1323040220025064E-2</v>
      </c>
      <c r="BA28">
        <f t="shared" si="11"/>
        <v>-3.7329345713187786E-2</v>
      </c>
      <c r="BE28">
        <f t="shared" si="24"/>
        <v>230</v>
      </c>
      <c r="BG28" s="2">
        <v>46.66</v>
      </c>
      <c r="BI28">
        <f t="shared" si="12"/>
        <v>-2.9992469867973926E-2</v>
      </c>
      <c r="BJ28">
        <f t="shared" si="13"/>
        <v>-3.5743633715931505E-2</v>
      </c>
      <c r="BN28">
        <f t="shared" si="25"/>
        <v>230</v>
      </c>
      <c r="BP28" s="2">
        <v>32.22</v>
      </c>
      <c r="BR28">
        <f t="shared" si="14"/>
        <v>-2.07106167841003E-2</v>
      </c>
      <c r="BS28">
        <f t="shared" si="15"/>
        <v>-2.4681951957293467E-2</v>
      </c>
      <c r="BW28">
        <f t="shared" si="26"/>
        <v>230</v>
      </c>
      <c r="BY28" s="2">
        <v>91.77</v>
      </c>
      <c r="CA28">
        <f t="shared" si="16"/>
        <v>-5.8988618940933719E-2</v>
      </c>
      <c r="CB28">
        <f t="shared" si="17"/>
        <v>-7.0299898545028591E-2</v>
      </c>
    </row>
    <row r="29" spans="2:80" x14ac:dyDescent="0.3">
      <c r="B29" t="s">
        <v>21</v>
      </c>
      <c r="C29">
        <f t="shared" si="18"/>
        <v>240</v>
      </c>
      <c r="E29">
        <v>149.4</v>
      </c>
      <c r="G29">
        <f t="shared" si="0"/>
        <v>-7.4700000000000072E-2</v>
      </c>
      <c r="H29">
        <f t="shared" si="1"/>
        <v>-0.12938419532539511</v>
      </c>
      <c r="L29">
        <f t="shared" si="19"/>
        <v>240</v>
      </c>
      <c r="N29" s="4">
        <v>96.9</v>
      </c>
      <c r="P29">
        <f t="shared" si="2"/>
        <v>-4.8450000000000042E-2</v>
      </c>
      <c r="Q29">
        <f t="shared" si="3"/>
        <v>-8.3917861626712081E-2</v>
      </c>
      <c r="U29">
        <f t="shared" si="20"/>
        <v>240</v>
      </c>
      <c r="W29" s="2">
        <v>32.880000000000003</v>
      </c>
      <c r="Y29">
        <f t="shared" si="4"/>
        <v>-1.6440000000000014E-2</v>
      </c>
      <c r="Z29">
        <f t="shared" si="5"/>
        <v>-2.8474915276432332E-2</v>
      </c>
      <c r="AD29">
        <f t="shared" si="21"/>
        <v>240</v>
      </c>
      <c r="AF29" s="2">
        <v>24.34</v>
      </c>
      <c r="AH29">
        <f t="shared" si="6"/>
        <v>-1.2170000000000011E-2</v>
      </c>
      <c r="AI29">
        <f t="shared" si="7"/>
        <v>-2.1079058328113229E-2</v>
      </c>
      <c r="AM29">
        <f t="shared" si="22"/>
        <v>240</v>
      </c>
      <c r="AO29">
        <v>146.1</v>
      </c>
      <c r="AQ29">
        <f t="shared" si="8"/>
        <v>-7.3050000000000073E-2</v>
      </c>
      <c r="AR29">
        <f t="shared" si="9"/>
        <v>-0.12652631149290644</v>
      </c>
      <c r="AV29">
        <f t="shared" si="23"/>
        <v>240</v>
      </c>
      <c r="AX29" s="2">
        <v>20.21</v>
      </c>
      <c r="AZ29">
        <f t="shared" si="10"/>
        <v>-1.010500000000001E-2</v>
      </c>
      <c r="BA29">
        <f t="shared" si="11"/>
        <v>-1.7502373410483503E-2</v>
      </c>
      <c r="BE29">
        <f t="shared" si="24"/>
        <v>240</v>
      </c>
      <c r="BG29" s="2">
        <v>53.17</v>
      </c>
      <c r="BI29">
        <f t="shared" si="12"/>
        <v>-2.6585000000000025E-2</v>
      </c>
      <c r="BJ29">
        <f t="shared" si="13"/>
        <v>-4.6046570719218589E-2</v>
      </c>
      <c r="BN29">
        <f t="shared" si="25"/>
        <v>240</v>
      </c>
      <c r="BP29" s="2">
        <v>33.6</v>
      </c>
      <c r="BR29">
        <f t="shared" si="14"/>
        <v>-1.6800000000000016E-2</v>
      </c>
      <c r="BS29">
        <f t="shared" si="15"/>
        <v>-2.9098453567157134E-2</v>
      </c>
      <c r="BW29">
        <f t="shared" si="26"/>
        <v>240</v>
      </c>
      <c r="BY29">
        <v>106</v>
      </c>
      <c r="CA29">
        <f t="shared" si="16"/>
        <v>-5.3000000000000047E-2</v>
      </c>
      <c r="CB29">
        <f t="shared" si="17"/>
        <v>-9.1798692801150467E-2</v>
      </c>
    </row>
    <row r="30" spans="2:80" x14ac:dyDescent="0.3">
      <c r="B30" t="s">
        <v>22</v>
      </c>
      <c r="C30">
        <f t="shared" si="18"/>
        <v>250</v>
      </c>
      <c r="E30">
        <v>136.19999999999999</v>
      </c>
      <c r="G30">
        <f t="shared" si="0"/>
        <v>-4.658314352095605E-2</v>
      </c>
      <c r="H30">
        <f t="shared" si="1"/>
        <v>-0.12798613495104072</v>
      </c>
      <c r="L30">
        <f t="shared" si="19"/>
        <v>250</v>
      </c>
      <c r="N30">
        <v>115.4</v>
      </c>
      <c r="P30">
        <f t="shared" si="2"/>
        <v>-3.9469124539782151E-2</v>
      </c>
      <c r="Q30">
        <f t="shared" si="3"/>
        <v>-0.10844052843869384</v>
      </c>
      <c r="U30">
        <f t="shared" si="20"/>
        <v>250</v>
      </c>
      <c r="W30" s="2">
        <v>42.14</v>
      </c>
      <c r="Y30">
        <f t="shared" si="4"/>
        <v>-1.4412728839743674E-2</v>
      </c>
      <c r="Z30">
        <f t="shared" si="5"/>
        <v>-3.9598647039918188E-2</v>
      </c>
      <c r="AD30">
        <f t="shared" si="21"/>
        <v>250</v>
      </c>
      <c r="AF30" s="2">
        <v>11.77</v>
      </c>
      <c r="AH30">
        <f t="shared" si="6"/>
        <v>-4.0255770869431183E-3</v>
      </c>
      <c r="AI30">
        <f t="shared" si="7"/>
        <v>-1.1060182146650142E-2</v>
      </c>
      <c r="AM30">
        <f t="shared" si="22"/>
        <v>250</v>
      </c>
      <c r="AO30">
        <v>125</v>
      </c>
      <c r="AQ30">
        <f t="shared" si="8"/>
        <v>-4.2752517915708568E-2</v>
      </c>
      <c r="AR30">
        <f t="shared" si="9"/>
        <v>-0.11746157759823855</v>
      </c>
      <c r="AV30">
        <f t="shared" si="23"/>
        <v>250</v>
      </c>
      <c r="AX30" s="2">
        <v>12.43</v>
      </c>
      <c r="AZ30">
        <f t="shared" si="10"/>
        <v>-4.2513103815380602E-3</v>
      </c>
      <c r="BA30">
        <f t="shared" si="11"/>
        <v>-1.1680379276368842E-2</v>
      </c>
      <c r="BE30">
        <f t="shared" si="24"/>
        <v>250</v>
      </c>
      <c r="BG30" s="2">
        <v>68.77</v>
      </c>
      <c r="BI30">
        <f t="shared" si="12"/>
        <v>-2.3520725256506225E-2</v>
      </c>
      <c r="BJ30">
        <f t="shared" si="13"/>
        <v>-6.4622661531446926E-2</v>
      </c>
      <c r="BN30">
        <f t="shared" si="25"/>
        <v>250</v>
      </c>
      <c r="BP30" s="2">
        <v>50.25</v>
      </c>
      <c r="BR30">
        <f t="shared" si="14"/>
        <v>-1.7186512202114847E-2</v>
      </c>
      <c r="BS30">
        <f t="shared" si="15"/>
        <v>-4.7219554194491899E-2</v>
      </c>
      <c r="BW30">
        <f t="shared" si="26"/>
        <v>250</v>
      </c>
      <c r="BY30">
        <v>127.7</v>
      </c>
      <c r="CA30">
        <f t="shared" si="16"/>
        <v>-4.3675972302687875E-2</v>
      </c>
      <c r="CB30">
        <f t="shared" si="17"/>
        <v>-0.11999874767436051</v>
      </c>
    </row>
    <row r="31" spans="2:80" x14ac:dyDescent="0.3">
      <c r="B31" t="s">
        <v>23</v>
      </c>
      <c r="C31">
        <f t="shared" si="18"/>
        <v>260</v>
      </c>
      <c r="E31">
        <v>129.1</v>
      </c>
      <c r="G31">
        <f t="shared" si="0"/>
        <v>-2.2417979736800705E-2</v>
      </c>
      <c r="H31">
        <f t="shared" si="1"/>
        <v>-0.12713868091387603</v>
      </c>
      <c r="L31">
        <f t="shared" si="19"/>
        <v>260</v>
      </c>
      <c r="N31">
        <v>137.19999999999999</v>
      </c>
      <c r="P31">
        <f t="shared" si="2"/>
        <v>-2.3824529975902838E-2</v>
      </c>
      <c r="Q31">
        <f t="shared" si="3"/>
        <v>-0.13511562371327493</v>
      </c>
      <c r="U31">
        <f t="shared" si="20"/>
        <v>260</v>
      </c>
      <c r="W31" s="2">
        <v>63.33</v>
      </c>
      <c r="Y31">
        <f t="shared" si="4"/>
        <v>-1.0997139091646697E-2</v>
      </c>
      <c r="Z31">
        <f t="shared" si="5"/>
        <v>-6.2367874998263129E-2</v>
      </c>
      <c r="AD31">
        <f t="shared" si="21"/>
        <v>260</v>
      </c>
      <c r="AF31" s="2">
        <v>16.510000000000002</v>
      </c>
      <c r="AH31">
        <f t="shared" si="6"/>
        <v>-2.8669314132810197E-3</v>
      </c>
      <c r="AI31">
        <f t="shared" si="7"/>
        <v>-1.6259176002231555E-2</v>
      </c>
      <c r="AM31">
        <f t="shared" si="22"/>
        <v>260</v>
      </c>
      <c r="AO31">
        <v>106.5</v>
      </c>
      <c r="AQ31">
        <f t="shared" si="8"/>
        <v>-1.8493530921528081E-2</v>
      </c>
      <c r="AR31">
        <f t="shared" si="9"/>
        <v>-0.10488202569580016</v>
      </c>
      <c r="AV31">
        <f t="shared" si="23"/>
        <v>260</v>
      </c>
      <c r="AX31" s="2">
        <v>19.579999999999998</v>
      </c>
      <c r="AZ31">
        <f t="shared" si="10"/>
        <v>-3.4000313187184951E-3</v>
      </c>
      <c r="BA31">
        <f t="shared" si="11"/>
        <v>-1.9282535803979029E-2</v>
      </c>
      <c r="BE31">
        <f t="shared" si="24"/>
        <v>260</v>
      </c>
      <c r="BG31" s="2">
        <v>99.64</v>
      </c>
      <c r="BI31">
        <f t="shared" si="12"/>
        <v>-1.730230442273294E-2</v>
      </c>
      <c r="BJ31">
        <f t="shared" si="13"/>
        <v>-9.8126244510136407E-2</v>
      </c>
      <c r="BN31">
        <f t="shared" si="25"/>
        <v>260</v>
      </c>
      <c r="BP31" s="2">
        <v>78.66</v>
      </c>
      <c r="BR31">
        <f t="shared" si="14"/>
        <v>-1.3659165655280739E-2</v>
      </c>
      <c r="BS31">
        <f t="shared" si="15"/>
        <v>-7.7464977851940273E-2</v>
      </c>
      <c r="BW31">
        <f t="shared" si="26"/>
        <v>260</v>
      </c>
      <c r="BY31">
        <v>149</v>
      </c>
      <c r="CA31">
        <f t="shared" si="16"/>
        <v>-2.5873578472372618E-2</v>
      </c>
      <c r="CB31">
        <f t="shared" si="17"/>
        <v>-0.146736355198819</v>
      </c>
    </row>
    <row r="32" spans="2:80" x14ac:dyDescent="0.3">
      <c r="B32">
        <v>-90</v>
      </c>
      <c r="C32">
        <f t="shared" si="18"/>
        <v>270</v>
      </c>
      <c r="E32">
        <v>115.3</v>
      </c>
      <c r="G32">
        <f t="shared" si="0"/>
        <v>-2.1188942527644584E-17</v>
      </c>
      <c r="H32">
        <f t="shared" si="1"/>
        <v>-0.1153</v>
      </c>
      <c r="L32">
        <f t="shared" si="19"/>
        <v>270</v>
      </c>
      <c r="N32">
        <v>161.4</v>
      </c>
      <c r="P32">
        <f t="shared" si="2"/>
        <v>-2.9660844093337694E-17</v>
      </c>
      <c r="Q32">
        <f t="shared" si="3"/>
        <v>-0.16140000000000002</v>
      </c>
      <c r="U32">
        <f t="shared" si="20"/>
        <v>270</v>
      </c>
      <c r="W32">
        <v>104.2</v>
      </c>
      <c r="Y32">
        <f t="shared" si="4"/>
        <v>-1.9149070350221731E-17</v>
      </c>
      <c r="Z32">
        <f t="shared" si="5"/>
        <v>-0.1042</v>
      </c>
      <c r="AD32">
        <f t="shared" si="21"/>
        <v>270</v>
      </c>
      <c r="AF32" s="2">
        <v>41.21</v>
      </c>
      <c r="AH32">
        <f t="shared" si="6"/>
        <v>-7.5732551740176359E-18</v>
      </c>
      <c r="AI32">
        <f t="shared" si="7"/>
        <v>-4.1210000000000004E-2</v>
      </c>
      <c r="AM32">
        <f t="shared" si="22"/>
        <v>270</v>
      </c>
      <c r="AO32" s="2">
        <v>92.76</v>
      </c>
      <c r="AQ32">
        <f t="shared" si="8"/>
        <v>-1.704671560159854E-17</v>
      </c>
      <c r="AR32">
        <f t="shared" si="9"/>
        <v>-9.2760000000000009E-2</v>
      </c>
      <c r="AV32">
        <f t="shared" si="23"/>
        <v>270</v>
      </c>
      <c r="AX32" s="2">
        <v>45.36</v>
      </c>
      <c r="AZ32">
        <f t="shared" si="10"/>
        <v>-8.3359100871982503E-18</v>
      </c>
      <c r="BA32">
        <f t="shared" si="11"/>
        <v>-4.5359999999999998E-2</v>
      </c>
      <c r="BE32">
        <f t="shared" si="24"/>
        <v>270</v>
      </c>
      <c r="BG32">
        <v>137.69999999999999</v>
      </c>
      <c r="BI32">
        <f t="shared" si="12"/>
        <v>-2.5305441336137543E-17</v>
      </c>
      <c r="BJ32">
        <f t="shared" si="13"/>
        <v>-0.13769999999999999</v>
      </c>
      <c r="BN32">
        <f t="shared" si="25"/>
        <v>270</v>
      </c>
      <c r="BP32">
        <v>126.1</v>
      </c>
      <c r="BR32">
        <f t="shared" si="14"/>
        <v>-2.3173683024596547E-17</v>
      </c>
      <c r="BS32">
        <f t="shared" si="15"/>
        <v>-0.12609999999999999</v>
      </c>
      <c r="BW32">
        <f t="shared" si="26"/>
        <v>270</v>
      </c>
      <c r="BY32">
        <v>179.4</v>
      </c>
      <c r="CA32">
        <f t="shared" si="16"/>
        <v>-3.2968744921590967E-17</v>
      </c>
      <c r="CB32">
        <f t="shared" si="17"/>
        <v>-0.1794</v>
      </c>
    </row>
    <row r="33" spans="2:80" x14ac:dyDescent="0.3">
      <c r="B33">
        <v>-80</v>
      </c>
      <c r="C33">
        <f t="shared" si="18"/>
        <v>280</v>
      </c>
      <c r="E33">
        <v>113.2</v>
      </c>
      <c r="G33">
        <f t="shared" si="0"/>
        <v>1.9656973711896474E-2</v>
      </c>
      <c r="H33">
        <f t="shared" si="1"/>
        <v>-0.11148023764098197</v>
      </c>
      <c r="L33">
        <f t="shared" si="19"/>
        <v>280</v>
      </c>
      <c r="N33">
        <v>190.3</v>
      </c>
      <c r="P33">
        <f t="shared" si="2"/>
        <v>3.3045248210016781E-2</v>
      </c>
      <c r="Q33">
        <f t="shared" si="3"/>
        <v>-0.18740891539822324</v>
      </c>
      <c r="U33">
        <f t="shared" si="20"/>
        <v>280</v>
      </c>
      <c r="W33">
        <v>146.5</v>
      </c>
      <c r="Y33">
        <f t="shared" si="4"/>
        <v>2.5439458028205238E-2</v>
      </c>
      <c r="Z33">
        <f t="shared" si="5"/>
        <v>-0.14427433581628848</v>
      </c>
      <c r="AD33">
        <f t="shared" si="21"/>
        <v>280</v>
      </c>
      <c r="AF33" s="2">
        <v>75.599999999999994</v>
      </c>
      <c r="AH33">
        <f t="shared" si="6"/>
        <v>1.3127802231619906E-2</v>
      </c>
      <c r="AI33">
        <f t="shared" si="7"/>
        <v>-7.4451466127722937E-2</v>
      </c>
      <c r="AM33">
        <f t="shared" si="22"/>
        <v>280</v>
      </c>
      <c r="AO33" s="2">
        <v>88.57</v>
      </c>
      <c r="AQ33">
        <f t="shared" si="8"/>
        <v>1.5380019095959986E-2</v>
      </c>
      <c r="AR33">
        <f t="shared" si="9"/>
        <v>-8.7224422684291272E-2</v>
      </c>
      <c r="AV33">
        <f t="shared" si="23"/>
        <v>280</v>
      </c>
      <c r="AX33" s="2">
        <v>84.45</v>
      </c>
      <c r="AZ33">
        <f t="shared" si="10"/>
        <v>1.4664588603972236E-2</v>
      </c>
      <c r="BA33">
        <f t="shared" si="11"/>
        <v>-8.3167014741880971E-2</v>
      </c>
      <c r="BE33">
        <f t="shared" si="24"/>
        <v>280</v>
      </c>
      <c r="BG33">
        <v>174</v>
      </c>
      <c r="BI33">
        <f t="shared" si="12"/>
        <v>3.0214782914045814E-2</v>
      </c>
      <c r="BJ33">
        <f t="shared" si="13"/>
        <v>-0.1713565490241242</v>
      </c>
      <c r="BN33">
        <f t="shared" si="25"/>
        <v>280</v>
      </c>
      <c r="BP33">
        <v>164.4</v>
      </c>
      <c r="BR33">
        <f t="shared" si="14"/>
        <v>2.8547760408443291E-2</v>
      </c>
      <c r="BS33">
        <f t="shared" si="15"/>
        <v>-0.16190239459520703</v>
      </c>
      <c r="BW33">
        <f t="shared" si="26"/>
        <v>280</v>
      </c>
      <c r="BY33">
        <v>197.4</v>
      </c>
      <c r="CA33">
        <f t="shared" si="16"/>
        <v>3.4278150271451972E-2</v>
      </c>
      <c r="CB33">
        <f t="shared" si="17"/>
        <v>-0.19440105044460987</v>
      </c>
    </row>
    <row r="34" spans="2:80" x14ac:dyDescent="0.3">
      <c r="B34">
        <v>-70</v>
      </c>
      <c r="C34">
        <f t="shared" si="18"/>
        <v>290</v>
      </c>
      <c r="E34">
        <v>119.4</v>
      </c>
      <c r="G34">
        <f t="shared" si="0"/>
        <v>4.0837205113084876E-2</v>
      </c>
      <c r="H34">
        <f t="shared" si="1"/>
        <v>-0.11219929892183746</v>
      </c>
      <c r="L34">
        <f t="shared" si="19"/>
        <v>290</v>
      </c>
      <c r="N34">
        <v>209.5</v>
      </c>
      <c r="P34">
        <f t="shared" si="2"/>
        <v>7.1653220026727651E-2</v>
      </c>
      <c r="Q34">
        <f t="shared" si="3"/>
        <v>-0.19686560405464779</v>
      </c>
      <c r="U34">
        <f t="shared" si="20"/>
        <v>290</v>
      </c>
      <c r="W34">
        <v>190.7</v>
      </c>
      <c r="Y34">
        <f t="shared" si="4"/>
        <v>6.522324133220507E-2</v>
      </c>
      <c r="Z34">
        <f t="shared" si="5"/>
        <v>-0.17919938278387271</v>
      </c>
      <c r="AD34">
        <f t="shared" si="21"/>
        <v>290</v>
      </c>
      <c r="AF34">
        <v>124.6</v>
      </c>
      <c r="AH34">
        <f t="shared" si="6"/>
        <v>4.2615709858378349E-2</v>
      </c>
      <c r="AI34">
        <f t="shared" si="7"/>
        <v>-0.11708570054992416</v>
      </c>
      <c r="AM34">
        <f t="shared" si="22"/>
        <v>290</v>
      </c>
      <c r="AO34" s="2">
        <v>92.3</v>
      </c>
      <c r="AQ34">
        <f t="shared" si="8"/>
        <v>3.1568459228959247E-2</v>
      </c>
      <c r="AR34">
        <f t="shared" si="9"/>
        <v>-8.6733628898539333E-2</v>
      </c>
      <c r="AV34">
        <f t="shared" si="23"/>
        <v>290</v>
      </c>
      <c r="AX34">
        <v>132.9</v>
      </c>
      <c r="AZ34">
        <f t="shared" si="10"/>
        <v>4.5454477047981418E-2</v>
      </c>
      <c r="BA34">
        <f t="shared" si="11"/>
        <v>-0.12488514930244723</v>
      </c>
      <c r="BE34">
        <f t="shared" si="24"/>
        <v>290</v>
      </c>
      <c r="BG34">
        <v>206.9</v>
      </c>
      <c r="BI34">
        <f t="shared" si="12"/>
        <v>7.0763967654080911E-2</v>
      </c>
      <c r="BJ34">
        <f t="shared" si="13"/>
        <v>-0.19442240324060442</v>
      </c>
      <c r="BN34">
        <f t="shared" si="25"/>
        <v>290</v>
      </c>
      <c r="BP34">
        <v>207.2</v>
      </c>
      <c r="BR34">
        <f t="shared" si="14"/>
        <v>7.0866573697078619E-2</v>
      </c>
      <c r="BS34">
        <f t="shared" si="15"/>
        <v>-0.19470431102684019</v>
      </c>
      <c r="BW34">
        <f t="shared" si="26"/>
        <v>290</v>
      </c>
      <c r="BY34">
        <v>215.3</v>
      </c>
      <c r="CA34">
        <f t="shared" si="16"/>
        <v>7.3636936858016547E-2</v>
      </c>
      <c r="CB34">
        <f t="shared" si="17"/>
        <v>-0.20231582125520609</v>
      </c>
    </row>
    <row r="35" spans="2:80" x14ac:dyDescent="0.3">
      <c r="B35">
        <v>-60</v>
      </c>
      <c r="C35">
        <f t="shared" si="18"/>
        <v>300</v>
      </c>
      <c r="E35">
        <v>133.69999999999999</v>
      </c>
      <c r="G35">
        <f t="shared" si="0"/>
        <v>6.6850000000000007E-2</v>
      </c>
      <c r="H35">
        <f t="shared" si="1"/>
        <v>-0.11578759648597943</v>
      </c>
      <c r="L35">
        <f t="shared" si="19"/>
        <v>300</v>
      </c>
      <c r="N35">
        <v>230.1</v>
      </c>
      <c r="P35">
        <f t="shared" si="2"/>
        <v>0.11505000000000003</v>
      </c>
      <c r="Q35">
        <f t="shared" si="3"/>
        <v>-0.19927244541079933</v>
      </c>
      <c r="U35">
        <f t="shared" si="20"/>
        <v>300</v>
      </c>
      <c r="W35">
        <v>231.5</v>
      </c>
      <c r="Y35">
        <f t="shared" si="4"/>
        <v>0.11575000000000003</v>
      </c>
      <c r="Z35">
        <f t="shared" si="5"/>
        <v>-0.20048488097609754</v>
      </c>
      <c r="AD35">
        <f t="shared" si="21"/>
        <v>300</v>
      </c>
      <c r="AF35">
        <v>169.6</v>
      </c>
      <c r="AH35">
        <f t="shared" si="6"/>
        <v>8.4800000000000014E-2</v>
      </c>
      <c r="AI35">
        <f t="shared" si="7"/>
        <v>-0.14687790848184079</v>
      </c>
      <c r="AM35">
        <f t="shared" si="22"/>
        <v>300</v>
      </c>
      <c r="AO35">
        <v>104.3</v>
      </c>
      <c r="AQ35">
        <f t="shared" si="8"/>
        <v>5.2150000000000016E-2</v>
      </c>
      <c r="AR35">
        <f t="shared" si="9"/>
        <v>-9.0326449614716947E-2</v>
      </c>
      <c r="AV35">
        <f t="shared" si="23"/>
        <v>300</v>
      </c>
      <c r="AX35">
        <v>178.9</v>
      </c>
      <c r="AZ35">
        <f t="shared" si="10"/>
        <v>8.9450000000000016E-2</v>
      </c>
      <c r="BA35">
        <f t="shared" si="11"/>
        <v>-0.15493194473703606</v>
      </c>
      <c r="BE35">
        <f t="shared" si="24"/>
        <v>300</v>
      </c>
      <c r="BG35">
        <v>244.5</v>
      </c>
      <c r="BI35">
        <f t="shared" si="12"/>
        <v>0.12225000000000003</v>
      </c>
      <c r="BJ35">
        <f t="shared" si="13"/>
        <v>-0.21174321122529524</v>
      </c>
      <c r="BN35">
        <f t="shared" si="25"/>
        <v>300</v>
      </c>
      <c r="BP35">
        <v>248.1</v>
      </c>
      <c r="BR35">
        <f t="shared" si="14"/>
        <v>0.12405000000000002</v>
      </c>
      <c r="BS35">
        <f t="shared" si="15"/>
        <v>-0.21486090267891919</v>
      </c>
      <c r="BW35">
        <f t="shared" si="26"/>
        <v>300</v>
      </c>
      <c r="BY35">
        <v>233.7</v>
      </c>
      <c r="CA35">
        <f t="shared" si="16"/>
        <v>0.11685000000000002</v>
      </c>
      <c r="CB35">
        <f t="shared" si="17"/>
        <v>-0.20239013686442328</v>
      </c>
    </row>
    <row r="36" spans="2:80" x14ac:dyDescent="0.3">
      <c r="B36">
        <v>-50</v>
      </c>
      <c r="C36">
        <f t="shared" si="18"/>
        <v>310</v>
      </c>
      <c r="E36">
        <v>144.69999999999999</v>
      </c>
      <c r="G36">
        <f t="shared" si="0"/>
        <v>9.3011367121642222E-2</v>
      </c>
      <c r="H36">
        <f t="shared" si="1"/>
        <v>-0.11084663091931612</v>
      </c>
      <c r="L36">
        <f t="shared" si="19"/>
        <v>310</v>
      </c>
      <c r="N36">
        <v>242.5</v>
      </c>
      <c r="P36">
        <f t="shared" si="2"/>
        <v>0.15587599534898577</v>
      </c>
      <c r="Q36">
        <f t="shared" si="3"/>
        <v>-0.1857657774563522</v>
      </c>
      <c r="U36">
        <f t="shared" si="20"/>
        <v>310</v>
      </c>
      <c r="W36">
        <v>268.7</v>
      </c>
      <c r="Y36">
        <f t="shared" si="4"/>
        <v>0.17271703072277308</v>
      </c>
      <c r="Z36">
        <f t="shared" si="5"/>
        <v>-0.20583614186606941</v>
      </c>
      <c r="AD36">
        <f t="shared" si="21"/>
        <v>310</v>
      </c>
      <c r="AF36">
        <v>220.1</v>
      </c>
      <c r="AH36">
        <f t="shared" si="6"/>
        <v>0.14147755289200728</v>
      </c>
      <c r="AI36">
        <f t="shared" si="7"/>
        <v>-0.16860638193048708</v>
      </c>
      <c r="AM36">
        <f t="shared" si="22"/>
        <v>310</v>
      </c>
      <c r="AO36">
        <v>123.5</v>
      </c>
      <c r="AQ36">
        <f t="shared" si="8"/>
        <v>7.9384269796287599E-2</v>
      </c>
      <c r="AR36">
        <f t="shared" si="9"/>
        <v>-9.4606488725193796E-2</v>
      </c>
      <c r="AV36">
        <f t="shared" si="23"/>
        <v>310</v>
      </c>
      <c r="AX36">
        <v>224.2</v>
      </c>
      <c r="AZ36">
        <f t="shared" si="10"/>
        <v>0.1441129820917221</v>
      </c>
      <c r="BA36">
        <f t="shared" si="11"/>
        <v>-0.17174716414727489</v>
      </c>
      <c r="BE36">
        <f t="shared" si="24"/>
        <v>310</v>
      </c>
      <c r="BG36">
        <v>267.7</v>
      </c>
      <c r="BI36">
        <f t="shared" si="12"/>
        <v>0.17207424311308656</v>
      </c>
      <c r="BJ36">
        <f t="shared" si="13"/>
        <v>-0.20507009742295043</v>
      </c>
      <c r="BN36">
        <f t="shared" si="25"/>
        <v>310</v>
      </c>
      <c r="BP36">
        <v>279.8</v>
      </c>
      <c r="BR36">
        <f t="shared" si="14"/>
        <v>0.17985197319029367</v>
      </c>
      <c r="BS36">
        <f t="shared" si="15"/>
        <v>-0.21433923518469009</v>
      </c>
      <c r="BW36">
        <f t="shared" si="26"/>
        <v>310</v>
      </c>
      <c r="BY36">
        <v>240</v>
      </c>
      <c r="CA36">
        <f t="shared" si="16"/>
        <v>0.15426902632476941</v>
      </c>
      <c r="CB36">
        <f t="shared" si="17"/>
        <v>-0.18385066634855474</v>
      </c>
    </row>
    <row r="37" spans="2:80" x14ac:dyDescent="0.3">
      <c r="B37">
        <v>-40</v>
      </c>
      <c r="C37">
        <f t="shared" si="18"/>
        <v>320</v>
      </c>
      <c r="E37">
        <v>167.6</v>
      </c>
      <c r="G37">
        <f t="shared" si="0"/>
        <v>0.12838904866674067</v>
      </c>
      <c r="H37">
        <f t="shared" si="1"/>
        <v>-0.10773120338346404</v>
      </c>
      <c r="L37">
        <f t="shared" si="19"/>
        <v>320</v>
      </c>
      <c r="N37">
        <v>247.3</v>
      </c>
      <c r="P37">
        <f t="shared" si="2"/>
        <v>0.18944279078332321</v>
      </c>
      <c r="Q37">
        <f t="shared" si="3"/>
        <v>-0.15896137587548126</v>
      </c>
      <c r="U37">
        <f t="shared" si="20"/>
        <v>320</v>
      </c>
      <c r="W37">
        <v>289.2</v>
      </c>
      <c r="Y37">
        <f t="shared" si="4"/>
        <v>0.22154005295000839</v>
      </c>
      <c r="Z37">
        <f t="shared" si="5"/>
        <v>-0.18589417672134725</v>
      </c>
      <c r="AD37">
        <f t="shared" si="21"/>
        <v>320</v>
      </c>
      <c r="AF37">
        <v>271</v>
      </c>
      <c r="AH37">
        <f t="shared" si="6"/>
        <v>0.20759804408524299</v>
      </c>
      <c r="AI37">
        <f t="shared" si="7"/>
        <v>-0.17419544222505223</v>
      </c>
      <c r="AM37">
        <f t="shared" si="22"/>
        <v>320</v>
      </c>
      <c r="AO37">
        <v>143.30000000000001</v>
      </c>
      <c r="AQ37">
        <f t="shared" si="8"/>
        <v>0.10977416869894953</v>
      </c>
      <c r="AR37">
        <f t="shared" si="9"/>
        <v>-9.2111464468081133E-2</v>
      </c>
      <c r="AV37">
        <f t="shared" si="23"/>
        <v>320</v>
      </c>
      <c r="AX37">
        <v>269.89999999999998</v>
      </c>
      <c r="AZ37">
        <f t="shared" si="10"/>
        <v>0.20675539519781208</v>
      </c>
      <c r="BA37">
        <f t="shared" si="11"/>
        <v>-0.17348837585439703</v>
      </c>
      <c r="BE37">
        <f t="shared" si="24"/>
        <v>320</v>
      </c>
      <c r="BG37">
        <v>277.7</v>
      </c>
      <c r="BI37">
        <f t="shared" si="12"/>
        <v>0.21273054185414014</v>
      </c>
      <c r="BJ37">
        <f t="shared" si="13"/>
        <v>-0.17850211920995204</v>
      </c>
      <c r="BN37">
        <f t="shared" si="25"/>
        <v>320</v>
      </c>
      <c r="BP37">
        <v>295.5</v>
      </c>
      <c r="BR37">
        <f t="shared" si="14"/>
        <v>0.22636613294165792</v>
      </c>
      <c r="BS37">
        <f t="shared" si="15"/>
        <v>-0.18994373866237244</v>
      </c>
      <c r="BW37">
        <f t="shared" si="26"/>
        <v>320</v>
      </c>
      <c r="BY37">
        <v>237.7</v>
      </c>
      <c r="CA37">
        <f t="shared" si="16"/>
        <v>0.18208876412938102</v>
      </c>
      <c r="CB37">
        <f t="shared" si="17"/>
        <v>-0.15279061482249046</v>
      </c>
    </row>
    <row r="38" spans="2:80" x14ac:dyDescent="0.3">
      <c r="B38">
        <v>-30</v>
      </c>
      <c r="C38">
        <f t="shared" si="18"/>
        <v>330</v>
      </c>
      <c r="E38">
        <v>189.4</v>
      </c>
      <c r="G38">
        <f t="shared" si="0"/>
        <v>0.16402521147677263</v>
      </c>
      <c r="H38">
        <f t="shared" si="1"/>
        <v>-9.470000000000009E-2</v>
      </c>
      <c r="L38">
        <f t="shared" si="19"/>
        <v>330</v>
      </c>
      <c r="N38">
        <v>241.2</v>
      </c>
      <c r="P38">
        <f t="shared" si="2"/>
        <v>0.20888532739280655</v>
      </c>
      <c r="Q38">
        <f t="shared" si="3"/>
        <v>-0.12060000000000011</v>
      </c>
      <c r="U38">
        <f t="shared" si="20"/>
        <v>330</v>
      </c>
      <c r="W38">
        <v>300</v>
      </c>
      <c r="Y38">
        <f t="shared" si="4"/>
        <v>0.25980762113533151</v>
      </c>
      <c r="Z38">
        <f t="shared" si="5"/>
        <v>-0.15000000000000013</v>
      </c>
      <c r="AD38">
        <f t="shared" si="21"/>
        <v>330</v>
      </c>
      <c r="AF38">
        <v>291.39999999999998</v>
      </c>
      <c r="AH38">
        <f t="shared" si="6"/>
        <v>0.25235980266278535</v>
      </c>
      <c r="AI38">
        <f t="shared" si="7"/>
        <v>-0.14570000000000013</v>
      </c>
      <c r="AM38">
        <f t="shared" si="22"/>
        <v>330</v>
      </c>
      <c r="AO38">
        <v>168.6</v>
      </c>
      <c r="AQ38">
        <f t="shared" si="8"/>
        <v>0.14601188307805632</v>
      </c>
      <c r="AR38">
        <f t="shared" si="9"/>
        <v>-8.4300000000000069E-2</v>
      </c>
      <c r="AV38">
        <f t="shared" si="23"/>
        <v>330</v>
      </c>
      <c r="AX38">
        <v>290.8</v>
      </c>
      <c r="AZ38">
        <f t="shared" si="10"/>
        <v>0.25184018742051467</v>
      </c>
      <c r="BA38">
        <f t="shared" si="11"/>
        <v>-0.14540000000000014</v>
      </c>
      <c r="BE38">
        <f t="shared" si="24"/>
        <v>330</v>
      </c>
      <c r="BG38">
        <v>275</v>
      </c>
      <c r="BI38">
        <f t="shared" si="12"/>
        <v>0.23815698604072058</v>
      </c>
      <c r="BJ38">
        <f t="shared" si="13"/>
        <v>-0.13750000000000012</v>
      </c>
      <c r="BN38">
        <f t="shared" si="25"/>
        <v>330</v>
      </c>
      <c r="BP38">
        <v>296.39999999999998</v>
      </c>
      <c r="BR38">
        <f t="shared" si="14"/>
        <v>0.25668992968170751</v>
      </c>
      <c r="BS38">
        <f t="shared" si="15"/>
        <v>-0.14820000000000014</v>
      </c>
      <c r="BW38">
        <f t="shared" si="26"/>
        <v>330</v>
      </c>
      <c r="BY38">
        <v>222.8</v>
      </c>
      <c r="CA38">
        <f t="shared" si="16"/>
        <v>0.19295045996317287</v>
      </c>
      <c r="CB38">
        <f t="shared" si="17"/>
        <v>-0.1114000000000001</v>
      </c>
    </row>
    <row r="39" spans="2:80" x14ac:dyDescent="0.3">
      <c r="B39">
        <v>-20</v>
      </c>
      <c r="C39">
        <f t="shared" si="18"/>
        <v>340</v>
      </c>
      <c r="E39">
        <v>206.1</v>
      </c>
      <c r="G39">
        <f t="shared" si="0"/>
        <v>0.19367064914397572</v>
      </c>
      <c r="H39">
        <f t="shared" si="1"/>
        <v>-7.0490351539420307E-2</v>
      </c>
      <c r="L39">
        <f t="shared" si="19"/>
        <v>340</v>
      </c>
      <c r="N39">
        <v>226.5</v>
      </c>
      <c r="P39">
        <f t="shared" si="2"/>
        <v>0.21284037860800825</v>
      </c>
      <c r="Q39">
        <f t="shared" si="3"/>
        <v>-7.7467562463263945E-2</v>
      </c>
      <c r="U39">
        <f t="shared" si="20"/>
        <v>340</v>
      </c>
      <c r="W39">
        <v>292.3</v>
      </c>
      <c r="Y39">
        <f t="shared" si="4"/>
        <v>0.27467215305572101</v>
      </c>
      <c r="Z39">
        <f t="shared" si="5"/>
        <v>-9.9972487894092937E-2</v>
      </c>
      <c r="AD39">
        <f t="shared" si="21"/>
        <v>340</v>
      </c>
      <c r="AF39">
        <v>313.89999999999998</v>
      </c>
      <c r="AH39">
        <f t="shared" si="6"/>
        <v>0.29496951366469659</v>
      </c>
      <c r="AI39">
        <f t="shared" si="7"/>
        <v>-0.10736012298992736</v>
      </c>
      <c r="AM39">
        <f t="shared" si="22"/>
        <v>340</v>
      </c>
      <c r="AO39">
        <v>193.7</v>
      </c>
      <c r="AQ39">
        <f t="shared" si="8"/>
        <v>0.18201846064623045</v>
      </c>
      <c r="AR39">
        <f t="shared" si="9"/>
        <v>-6.6249301762182009E-2</v>
      </c>
      <c r="AV39">
        <f t="shared" si="23"/>
        <v>340</v>
      </c>
      <c r="AX39">
        <v>303.7</v>
      </c>
      <c r="AZ39">
        <f t="shared" si="10"/>
        <v>0.28538464893268034</v>
      </c>
      <c r="BA39">
        <f t="shared" si="11"/>
        <v>-0.10387151752800554</v>
      </c>
      <c r="BE39">
        <f t="shared" si="24"/>
        <v>340</v>
      </c>
      <c r="BG39">
        <v>256.10000000000002</v>
      </c>
      <c r="BI39">
        <f t="shared" si="12"/>
        <v>0.2406552801832712</v>
      </c>
      <c r="BJ39">
        <f t="shared" si="13"/>
        <v>-8.759135870570374E-2</v>
      </c>
      <c r="BN39">
        <f t="shared" si="25"/>
        <v>340</v>
      </c>
      <c r="BP39">
        <v>281.10000000000002</v>
      </c>
      <c r="BR39">
        <f t="shared" si="14"/>
        <v>0.26414759570291885</v>
      </c>
      <c r="BS39">
        <f t="shared" si="15"/>
        <v>-9.6141862288845456E-2</v>
      </c>
      <c r="BW39">
        <f t="shared" si="26"/>
        <v>340</v>
      </c>
      <c r="BY39">
        <v>203.1</v>
      </c>
      <c r="CA39">
        <f t="shared" si="16"/>
        <v>0.190851571281618</v>
      </c>
      <c r="CB39">
        <f t="shared" si="17"/>
        <v>-6.9464291109443299E-2</v>
      </c>
    </row>
    <row r="40" spans="2:80" x14ac:dyDescent="0.3">
      <c r="B40">
        <v>-10</v>
      </c>
      <c r="C40">
        <f t="shared" si="18"/>
        <v>350</v>
      </c>
      <c r="E40">
        <v>219.3</v>
      </c>
      <c r="G40">
        <f t="shared" si="0"/>
        <v>0.21596834023557723</v>
      </c>
      <c r="H40">
        <f t="shared" si="1"/>
        <v>-3.8081045362357839E-2</v>
      </c>
      <c r="L40">
        <f t="shared" si="19"/>
        <v>350</v>
      </c>
      <c r="N40">
        <v>203.8</v>
      </c>
      <c r="P40">
        <f t="shared" si="2"/>
        <v>0.20070382006388801</v>
      </c>
      <c r="Q40">
        <f t="shared" si="3"/>
        <v>-3.5389498608520413E-2</v>
      </c>
      <c r="U40">
        <f t="shared" si="20"/>
        <v>350</v>
      </c>
      <c r="W40">
        <v>273</v>
      </c>
      <c r="Y40">
        <f t="shared" si="4"/>
        <v>0.26885251657233283</v>
      </c>
      <c r="Z40">
        <f t="shared" si="5"/>
        <v>-4.7405952503072002E-2</v>
      </c>
      <c r="AD40">
        <f t="shared" si="21"/>
        <v>350</v>
      </c>
      <c r="AF40">
        <v>310.5</v>
      </c>
      <c r="AH40">
        <f t="shared" si="6"/>
        <v>0.30578280731029056</v>
      </c>
      <c r="AI40">
        <f t="shared" si="7"/>
        <v>-5.3917759165581884E-2</v>
      </c>
      <c r="AM40">
        <f t="shared" si="22"/>
        <v>350</v>
      </c>
      <c r="AO40">
        <v>208</v>
      </c>
      <c r="AQ40">
        <f t="shared" si="8"/>
        <v>0.20484001262653925</v>
      </c>
      <c r="AR40">
        <f t="shared" si="9"/>
        <v>-3.611882095472152E-2</v>
      </c>
      <c r="AV40">
        <f t="shared" si="23"/>
        <v>350</v>
      </c>
      <c r="AX40">
        <v>297.3</v>
      </c>
      <c r="AZ40">
        <f t="shared" si="10"/>
        <v>0.29278334497052944</v>
      </c>
      <c r="BA40">
        <f t="shared" si="11"/>
        <v>-5.1625603220378402E-2</v>
      </c>
      <c r="BE40">
        <f t="shared" si="24"/>
        <v>350</v>
      </c>
      <c r="BG40">
        <v>226.6</v>
      </c>
      <c r="BI40">
        <f t="shared" si="12"/>
        <v>0.22315743683256634</v>
      </c>
      <c r="BJ40">
        <f t="shared" si="13"/>
        <v>-3.9348677059326424E-2</v>
      </c>
      <c r="BN40">
        <f t="shared" si="25"/>
        <v>350</v>
      </c>
      <c r="BP40">
        <v>253.5</v>
      </c>
      <c r="BR40">
        <f t="shared" si="14"/>
        <v>0.24964876538859473</v>
      </c>
      <c r="BS40">
        <f t="shared" si="15"/>
        <v>-4.4019813038566856E-2</v>
      </c>
      <c r="BW40">
        <f t="shared" si="26"/>
        <v>350</v>
      </c>
      <c r="BY40">
        <v>182.8</v>
      </c>
      <c r="CA40">
        <f t="shared" si="16"/>
        <v>0.18002285725063163</v>
      </c>
      <c r="CB40">
        <f t="shared" si="17"/>
        <v>-3.1742886877514878E-2</v>
      </c>
    </row>
    <row r="41" spans="2:80" x14ac:dyDescent="0.3">
      <c r="B41">
        <v>0</v>
      </c>
      <c r="C41">
        <f t="shared" si="18"/>
        <v>360</v>
      </c>
      <c r="E41">
        <v>226.1</v>
      </c>
      <c r="G41">
        <f t="shared" si="0"/>
        <v>0.2261</v>
      </c>
      <c r="H41">
        <f t="shared" si="1"/>
        <v>-5.5401213130967796E-17</v>
      </c>
      <c r="L41">
        <f t="shared" si="19"/>
        <v>360</v>
      </c>
      <c r="N41">
        <v>180.2</v>
      </c>
      <c r="P41">
        <f t="shared" si="2"/>
        <v>0.1802</v>
      </c>
      <c r="Q41">
        <f t="shared" si="3"/>
        <v>-4.4154350314906666E-17</v>
      </c>
      <c r="U41">
        <f t="shared" si="20"/>
        <v>360</v>
      </c>
      <c r="W41">
        <v>236.3</v>
      </c>
      <c r="Y41">
        <f t="shared" si="4"/>
        <v>0.23630000000000001</v>
      </c>
      <c r="Z41">
        <f t="shared" si="5"/>
        <v>-5.7900515978981383E-17</v>
      </c>
      <c r="AD41">
        <f t="shared" si="21"/>
        <v>360</v>
      </c>
      <c r="AF41">
        <v>288.7</v>
      </c>
      <c r="AH41">
        <f t="shared" si="6"/>
        <v>0.28870000000000001</v>
      </c>
      <c r="AI41">
        <f t="shared" si="7"/>
        <v>-7.0740071786423718E-17</v>
      </c>
      <c r="AM41">
        <f t="shared" si="22"/>
        <v>360</v>
      </c>
      <c r="AO41">
        <v>222.7</v>
      </c>
      <c r="AQ41">
        <f t="shared" si="8"/>
        <v>0.22269999999999998</v>
      </c>
      <c r="AR41">
        <f t="shared" si="9"/>
        <v>-5.4568112181629931E-17</v>
      </c>
      <c r="AV41">
        <f t="shared" si="23"/>
        <v>360</v>
      </c>
      <c r="AX41">
        <v>276.2</v>
      </c>
      <c r="AZ41">
        <f t="shared" si="10"/>
        <v>0.2762</v>
      </c>
      <c r="BA41">
        <f t="shared" si="11"/>
        <v>-6.7677200649152168E-17</v>
      </c>
      <c r="BE41">
        <f t="shared" si="24"/>
        <v>360</v>
      </c>
      <c r="BG41">
        <v>188.6</v>
      </c>
      <c r="BI41">
        <f t="shared" si="12"/>
        <v>0.18859999999999999</v>
      </c>
      <c r="BJ41">
        <f t="shared" si="13"/>
        <v>-4.6212599719153146E-17</v>
      </c>
      <c r="BN41">
        <f t="shared" si="25"/>
        <v>360</v>
      </c>
      <c r="BP41">
        <v>211.1</v>
      </c>
      <c r="BR41">
        <f t="shared" si="14"/>
        <v>0.21109999999999998</v>
      </c>
      <c r="BS41">
        <f t="shared" si="15"/>
        <v>-5.1725767766241932E-17</v>
      </c>
      <c r="BW41">
        <f t="shared" si="26"/>
        <v>360</v>
      </c>
      <c r="BY41">
        <v>153.69999999999999</v>
      </c>
      <c r="CA41">
        <f t="shared" si="16"/>
        <v>0.15369999999999998</v>
      </c>
      <c r="CB41">
        <f t="shared" si="17"/>
        <v>-3.7661063503890975E-17</v>
      </c>
    </row>
  </sheetData>
  <phoneticPr fontId="4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DEA62-7226-4D0F-B91C-AC0C9F690C95}">
  <dimension ref="A1:BS65"/>
  <sheetViews>
    <sheetView zoomScale="51" workbookViewId="0">
      <selection activeCell="C63" sqref="C63"/>
    </sheetView>
  </sheetViews>
  <sheetFormatPr defaultRowHeight="14.4" x14ac:dyDescent="0.3"/>
  <cols>
    <col min="1" max="1" width="10.33203125" bestFit="1" customWidth="1"/>
  </cols>
  <sheetData>
    <row r="1" spans="1:54" x14ac:dyDescent="0.3">
      <c r="A1" s="1">
        <v>45782</v>
      </c>
    </row>
    <row r="2" spans="1:54" x14ac:dyDescent="0.3">
      <c r="A2" t="s">
        <v>0</v>
      </c>
    </row>
    <row r="4" spans="1:54" x14ac:dyDescent="0.3">
      <c r="A4" s="3" t="s">
        <v>1</v>
      </c>
      <c r="B4" s="3" t="s">
        <v>2</v>
      </c>
      <c r="C4" s="3" t="s">
        <v>5</v>
      </c>
      <c r="D4" s="3" t="s">
        <v>6</v>
      </c>
      <c r="E4" s="3" t="s">
        <v>3</v>
      </c>
      <c r="F4" s="7" t="s">
        <v>4</v>
      </c>
      <c r="G4" s="3" t="s">
        <v>1</v>
      </c>
      <c r="H4" s="3" t="s">
        <v>2</v>
      </c>
      <c r="I4" s="3" t="s">
        <v>5</v>
      </c>
      <c r="J4" s="3" t="s">
        <v>6</v>
      </c>
      <c r="K4" s="3" t="s">
        <v>3</v>
      </c>
      <c r="L4" s="7" t="s">
        <v>4</v>
      </c>
      <c r="M4" s="3" t="s">
        <v>1</v>
      </c>
      <c r="N4" s="3" t="s">
        <v>2</v>
      </c>
      <c r="O4" s="3" t="s">
        <v>5</v>
      </c>
      <c r="P4" s="3" t="s">
        <v>6</v>
      </c>
      <c r="Q4" s="3" t="s">
        <v>3</v>
      </c>
      <c r="R4" s="7" t="s">
        <v>4</v>
      </c>
      <c r="S4" s="3" t="s">
        <v>1</v>
      </c>
      <c r="T4" s="3" t="s">
        <v>2</v>
      </c>
      <c r="U4" s="3" t="s">
        <v>5</v>
      </c>
      <c r="V4" s="3" t="s">
        <v>6</v>
      </c>
      <c r="W4" s="3" t="s">
        <v>3</v>
      </c>
      <c r="X4" s="7" t="s">
        <v>4</v>
      </c>
      <c r="Y4" s="3" t="s">
        <v>1</v>
      </c>
      <c r="Z4" s="3" t="s">
        <v>2</v>
      </c>
      <c r="AA4" s="3" t="s">
        <v>5</v>
      </c>
      <c r="AB4" s="3" t="s">
        <v>6</v>
      </c>
      <c r="AC4" s="3" t="s">
        <v>3</v>
      </c>
      <c r="AD4" s="7" t="s">
        <v>4</v>
      </c>
      <c r="AE4" s="3" t="s">
        <v>1</v>
      </c>
      <c r="AF4" s="3" t="s">
        <v>2</v>
      </c>
      <c r="AG4" s="3" t="s">
        <v>5</v>
      </c>
      <c r="AH4" s="3" t="s">
        <v>6</v>
      </c>
      <c r="AI4" s="3" t="s">
        <v>3</v>
      </c>
      <c r="AJ4" s="7" t="s">
        <v>4</v>
      </c>
      <c r="AK4" s="3" t="s">
        <v>1</v>
      </c>
      <c r="AL4" s="3" t="s">
        <v>2</v>
      </c>
      <c r="AM4" s="3" t="s">
        <v>5</v>
      </c>
      <c r="AN4" s="3" t="s">
        <v>6</v>
      </c>
      <c r="AO4" s="3" t="s">
        <v>3</v>
      </c>
      <c r="AP4" s="7" t="s">
        <v>4</v>
      </c>
      <c r="AQ4" s="3" t="s">
        <v>1</v>
      </c>
      <c r="AR4" s="3" t="s">
        <v>2</v>
      </c>
      <c r="AS4" s="3" t="s">
        <v>5</v>
      </c>
      <c r="AT4" s="3" t="s">
        <v>6</v>
      </c>
      <c r="AU4" s="3" t="s">
        <v>3</v>
      </c>
      <c r="AV4" s="7" t="s">
        <v>4</v>
      </c>
      <c r="AW4" s="3" t="s">
        <v>1</v>
      </c>
      <c r="AX4" s="3" t="s">
        <v>2</v>
      </c>
      <c r="AY4" s="3" t="s">
        <v>5</v>
      </c>
      <c r="AZ4" s="3" t="s">
        <v>6</v>
      </c>
      <c r="BA4" s="3" t="s">
        <v>3</v>
      </c>
      <c r="BB4" s="7" t="s">
        <v>4</v>
      </c>
    </row>
    <row r="5" spans="1:54" x14ac:dyDescent="0.3">
      <c r="A5">
        <v>0</v>
      </c>
      <c r="B5">
        <v>0.5</v>
      </c>
      <c r="C5">
        <v>0</v>
      </c>
      <c r="D5">
        <v>0.5</v>
      </c>
      <c r="E5" s="5">
        <v>225.4</v>
      </c>
      <c r="F5" s="8">
        <v>1.25</v>
      </c>
      <c r="G5">
        <v>30</v>
      </c>
      <c r="H5">
        <v>0.5</v>
      </c>
      <c r="I5">
        <v>0</v>
      </c>
      <c r="J5">
        <v>0.5</v>
      </c>
      <c r="K5" s="5">
        <v>170.8</v>
      </c>
      <c r="L5" s="8">
        <v>1.25</v>
      </c>
      <c r="M5">
        <v>45</v>
      </c>
      <c r="N5">
        <v>0.5</v>
      </c>
      <c r="O5">
        <v>0</v>
      </c>
      <c r="P5">
        <v>0.5</v>
      </c>
      <c r="Q5" s="5">
        <v>240.5</v>
      </c>
      <c r="R5" s="8">
        <f>0.5*(242.1-239.6)</f>
        <v>1.25</v>
      </c>
      <c r="S5">
        <v>60</v>
      </c>
      <c r="T5">
        <v>0.5</v>
      </c>
      <c r="U5">
        <v>0</v>
      </c>
      <c r="V5">
        <v>0.5</v>
      </c>
      <c r="W5" s="5">
        <v>301.10000000000002</v>
      </c>
      <c r="X5" s="8">
        <v>1.25</v>
      </c>
      <c r="Y5">
        <v>90</v>
      </c>
      <c r="Z5">
        <v>0.5</v>
      </c>
      <c r="AA5">
        <v>0</v>
      </c>
      <c r="AB5">
        <v>0.5</v>
      </c>
      <c r="AC5" s="5">
        <v>220.9</v>
      </c>
      <c r="AD5" s="8">
        <v>1.25</v>
      </c>
      <c r="AE5">
        <v>-30</v>
      </c>
      <c r="AF5">
        <v>0.5</v>
      </c>
      <c r="AG5">
        <v>0</v>
      </c>
      <c r="AH5">
        <v>0.5</v>
      </c>
      <c r="AI5" s="5">
        <v>279.7</v>
      </c>
      <c r="AJ5" s="8">
        <v>1.25</v>
      </c>
      <c r="AK5">
        <v>-50</v>
      </c>
      <c r="AL5">
        <v>0.5</v>
      </c>
      <c r="AM5">
        <v>0</v>
      </c>
      <c r="AN5">
        <v>0.5</v>
      </c>
      <c r="AO5" s="5">
        <v>189.9</v>
      </c>
      <c r="AP5" s="8">
        <v>1.25</v>
      </c>
      <c r="AQ5">
        <v>-45</v>
      </c>
      <c r="AR5">
        <v>0.5</v>
      </c>
      <c r="AS5">
        <v>0</v>
      </c>
      <c r="AT5">
        <v>0.5</v>
      </c>
      <c r="AU5" s="5">
        <v>210.2</v>
      </c>
      <c r="AV5" s="8">
        <v>1.25</v>
      </c>
      <c r="AW5">
        <v>-60</v>
      </c>
      <c r="AX5">
        <v>0.5</v>
      </c>
      <c r="AY5">
        <v>0</v>
      </c>
      <c r="AZ5">
        <v>0.5</v>
      </c>
      <c r="BA5" s="5">
        <v>156.19999999999999</v>
      </c>
      <c r="BB5" s="8">
        <v>1.25</v>
      </c>
    </row>
    <row r="6" spans="1:54" x14ac:dyDescent="0.3">
      <c r="C6">
        <f>C5+10</f>
        <v>10</v>
      </c>
      <c r="E6" s="5">
        <v>227.6</v>
      </c>
      <c r="F6" s="8">
        <v>1.25</v>
      </c>
      <c r="I6">
        <f>I5+10</f>
        <v>10</v>
      </c>
      <c r="K6" s="5">
        <v>141.19999999999999</v>
      </c>
      <c r="L6" s="8">
        <v>1.25</v>
      </c>
      <c r="O6">
        <f>O5+10</f>
        <v>10</v>
      </c>
      <c r="Q6" s="5">
        <v>197.8</v>
      </c>
      <c r="R6" s="8">
        <f>0.5*(242.1-239.6)</f>
        <v>1.25</v>
      </c>
      <c r="U6">
        <f>U5+10</f>
        <v>10</v>
      </c>
      <c r="W6" s="5">
        <v>270</v>
      </c>
      <c r="X6" s="8">
        <v>1.25</v>
      </c>
      <c r="AA6">
        <f>AA5+10</f>
        <v>10</v>
      </c>
      <c r="AC6" s="5">
        <v>242.6</v>
      </c>
      <c r="AD6" s="8">
        <v>1.25</v>
      </c>
      <c r="AE6">
        <v>330</v>
      </c>
      <c r="AG6">
        <f>AG5+10</f>
        <v>10</v>
      </c>
      <c r="AI6" s="5">
        <v>244.2</v>
      </c>
      <c r="AJ6" s="8">
        <v>1.25</v>
      </c>
      <c r="AK6">
        <v>310</v>
      </c>
      <c r="AM6">
        <f>AM5+10</f>
        <v>10</v>
      </c>
      <c r="AO6" s="5">
        <v>148.30000000000001</v>
      </c>
      <c r="AP6" s="8">
        <v>1.25</v>
      </c>
      <c r="AQ6">
        <v>315</v>
      </c>
      <c r="AS6">
        <f>AS5+10</f>
        <v>10</v>
      </c>
      <c r="AU6" s="5">
        <v>166.7</v>
      </c>
      <c r="AV6" s="8">
        <v>1.25</v>
      </c>
      <c r="AW6">
        <v>300</v>
      </c>
      <c r="AY6">
        <f>AY5+10</f>
        <v>10</v>
      </c>
      <c r="BA6" s="5">
        <v>134.1</v>
      </c>
      <c r="BB6" s="8">
        <v>1.25</v>
      </c>
    </row>
    <row r="7" spans="1:54" x14ac:dyDescent="0.3">
      <c r="C7">
        <f t="shared" ref="C7:C41" si="0">C6+10</f>
        <v>20</v>
      </c>
      <c r="E7" s="5">
        <v>220.3</v>
      </c>
      <c r="F7" s="8">
        <v>1.25</v>
      </c>
      <c r="I7">
        <f t="shared" ref="I7:I41" si="1">I6+10</f>
        <v>20</v>
      </c>
      <c r="K7" s="5">
        <v>117.4</v>
      </c>
      <c r="L7" s="8">
        <v>1.25</v>
      </c>
      <c r="O7">
        <f t="shared" ref="O7:O41" si="2">O6+10</f>
        <v>20</v>
      </c>
      <c r="Q7" s="5">
        <v>151.6</v>
      </c>
      <c r="R7" s="8">
        <f t="shared" ref="R7:R41" si="3">0.5*(242.1-239.6)</f>
        <v>1.25</v>
      </c>
      <c r="U7">
        <f t="shared" ref="U7:U41" si="4">U6+10</f>
        <v>20</v>
      </c>
      <c r="W7" s="5">
        <v>221.4</v>
      </c>
      <c r="X7" s="8">
        <v>1.25</v>
      </c>
      <c r="AA7">
        <f t="shared" ref="AA7:AA41" si="5">AA6+10</f>
        <v>20</v>
      </c>
      <c r="AC7" s="5">
        <v>243.3</v>
      </c>
      <c r="AD7" s="8">
        <v>1.25</v>
      </c>
      <c r="AG7">
        <f t="shared" ref="AG7:AG41" si="6">AG6+10</f>
        <v>20</v>
      </c>
      <c r="AI7" s="5">
        <v>198.2</v>
      </c>
      <c r="AJ7" s="8">
        <v>1.25</v>
      </c>
      <c r="AM7">
        <f t="shared" ref="AM7:AM41" si="7">AM6+10</f>
        <v>20</v>
      </c>
      <c r="AO7" s="5">
        <v>115.5</v>
      </c>
      <c r="AP7" s="8">
        <v>1.25</v>
      </c>
      <c r="AS7">
        <f t="shared" ref="AS7:AS41" si="8">AS6+10</f>
        <v>20</v>
      </c>
      <c r="AU7" s="5">
        <v>124.3</v>
      </c>
      <c r="AV7" s="8">
        <v>1.25</v>
      </c>
      <c r="AY7">
        <f t="shared" ref="AY7:AY41" si="9">AY6+10</f>
        <v>20</v>
      </c>
      <c r="BA7" s="5">
        <v>111.7</v>
      </c>
      <c r="BB7" s="8">
        <v>1.25</v>
      </c>
    </row>
    <row r="8" spans="1:54" x14ac:dyDescent="0.3">
      <c r="C8">
        <f t="shared" si="0"/>
        <v>30</v>
      </c>
      <c r="E8" s="5">
        <v>204.2</v>
      </c>
      <c r="F8" s="8">
        <v>1.25</v>
      </c>
      <c r="I8">
        <f t="shared" si="1"/>
        <v>30</v>
      </c>
      <c r="K8" s="6">
        <v>99.15</v>
      </c>
      <c r="L8" s="9">
        <v>1.4</v>
      </c>
      <c r="O8">
        <f t="shared" si="2"/>
        <v>30</v>
      </c>
      <c r="Q8" s="5">
        <v>106.8</v>
      </c>
      <c r="R8" s="8">
        <f t="shared" si="3"/>
        <v>1.25</v>
      </c>
      <c r="U8">
        <f t="shared" si="4"/>
        <v>30</v>
      </c>
      <c r="W8" s="5">
        <v>169.8</v>
      </c>
      <c r="X8" s="8">
        <v>1.25</v>
      </c>
      <c r="AA8">
        <f t="shared" si="5"/>
        <v>30</v>
      </c>
      <c r="AC8" s="5">
        <v>229.5</v>
      </c>
      <c r="AD8" s="8">
        <v>1.25</v>
      </c>
      <c r="AG8">
        <f t="shared" si="6"/>
        <v>30</v>
      </c>
      <c r="AI8" s="5">
        <v>143.4</v>
      </c>
      <c r="AJ8" s="8">
        <v>1.25</v>
      </c>
      <c r="AM8">
        <f t="shared" si="7"/>
        <v>30</v>
      </c>
      <c r="AO8" s="6">
        <v>80.45</v>
      </c>
      <c r="AP8" s="9">
        <v>1.4</v>
      </c>
      <c r="AS8">
        <f t="shared" si="8"/>
        <v>30</v>
      </c>
      <c r="AU8" s="6">
        <v>82.26</v>
      </c>
      <c r="AV8" s="9">
        <v>1.4</v>
      </c>
      <c r="AY8">
        <f t="shared" si="9"/>
        <v>30</v>
      </c>
      <c r="BA8" s="6">
        <v>97.03</v>
      </c>
      <c r="BB8" s="9">
        <v>1.4</v>
      </c>
    </row>
    <row r="9" spans="1:54" x14ac:dyDescent="0.3">
      <c r="C9">
        <f t="shared" si="0"/>
        <v>40</v>
      </c>
      <c r="E9" s="5">
        <v>192.7</v>
      </c>
      <c r="F9" s="8">
        <v>1.25</v>
      </c>
      <c r="I9">
        <f t="shared" si="1"/>
        <v>40</v>
      </c>
      <c r="K9" s="6">
        <v>88.13</v>
      </c>
      <c r="L9" s="9">
        <v>1.4</v>
      </c>
      <c r="O9">
        <f t="shared" si="2"/>
        <v>40</v>
      </c>
      <c r="Q9" s="6">
        <v>66.75</v>
      </c>
      <c r="R9" s="9">
        <v>1.4</v>
      </c>
      <c r="U9">
        <f t="shared" si="4"/>
        <v>40</v>
      </c>
      <c r="W9" s="5">
        <v>115.5</v>
      </c>
      <c r="X9" s="8">
        <v>1.25</v>
      </c>
      <c r="AA9">
        <f t="shared" si="5"/>
        <v>40</v>
      </c>
      <c r="AC9" s="5">
        <v>210</v>
      </c>
      <c r="AD9" s="8">
        <v>1.25</v>
      </c>
      <c r="AG9">
        <f t="shared" si="6"/>
        <v>40</v>
      </c>
      <c r="AI9" s="6">
        <v>96.51</v>
      </c>
      <c r="AJ9" s="9">
        <v>1.4</v>
      </c>
      <c r="AM9">
        <f t="shared" si="7"/>
        <v>40</v>
      </c>
      <c r="AO9" s="6">
        <v>58.52</v>
      </c>
      <c r="AP9" s="9">
        <v>1.4</v>
      </c>
      <c r="AS9">
        <f t="shared" si="8"/>
        <v>40</v>
      </c>
      <c r="AU9" s="6">
        <v>52.17</v>
      </c>
      <c r="AV9" s="9">
        <v>1.4</v>
      </c>
      <c r="AY9">
        <f t="shared" si="9"/>
        <v>40</v>
      </c>
      <c r="BA9" s="6">
        <v>89.57</v>
      </c>
      <c r="BB9" s="9">
        <v>1.4</v>
      </c>
    </row>
    <row r="10" spans="1:54" x14ac:dyDescent="0.3">
      <c r="C10">
        <f t="shared" si="0"/>
        <v>50</v>
      </c>
      <c r="E10" s="5">
        <v>178.6</v>
      </c>
      <c r="F10" s="8">
        <v>1.25</v>
      </c>
      <c r="I10">
        <f t="shared" si="1"/>
        <v>50</v>
      </c>
      <c r="K10" s="6">
        <v>91.82</v>
      </c>
      <c r="L10" s="9">
        <v>1.4</v>
      </c>
      <c r="O10">
        <f t="shared" si="2"/>
        <v>50</v>
      </c>
      <c r="Q10" s="6">
        <v>42.57</v>
      </c>
      <c r="R10" s="9">
        <v>1.4</v>
      </c>
      <c r="U10">
        <f t="shared" si="4"/>
        <v>50</v>
      </c>
      <c r="W10" s="6">
        <v>62.76</v>
      </c>
      <c r="X10" s="9">
        <v>1.4</v>
      </c>
      <c r="AA10">
        <f t="shared" si="5"/>
        <v>50</v>
      </c>
      <c r="AC10" s="5">
        <v>183</v>
      </c>
      <c r="AD10" s="8">
        <v>1.25</v>
      </c>
      <c r="AG10">
        <f t="shared" si="6"/>
        <v>50</v>
      </c>
      <c r="AI10" s="6">
        <v>54.88</v>
      </c>
      <c r="AJ10" s="9">
        <v>1.4</v>
      </c>
      <c r="AM10">
        <f t="shared" si="7"/>
        <v>50</v>
      </c>
      <c r="AO10" s="6">
        <v>49.73</v>
      </c>
      <c r="AP10" s="9">
        <v>1.4</v>
      </c>
      <c r="AS10">
        <f t="shared" si="8"/>
        <v>50</v>
      </c>
      <c r="AU10" s="6">
        <v>32.46</v>
      </c>
      <c r="AV10" s="9">
        <v>1.4</v>
      </c>
      <c r="AY10">
        <f t="shared" si="9"/>
        <v>50</v>
      </c>
      <c r="BA10" s="6">
        <v>96.33</v>
      </c>
      <c r="BB10" s="9">
        <v>1.4</v>
      </c>
    </row>
    <row r="11" spans="1:54" x14ac:dyDescent="0.3">
      <c r="C11">
        <f t="shared" si="0"/>
        <v>60</v>
      </c>
      <c r="E11" s="5">
        <v>153.69999999999999</v>
      </c>
      <c r="F11" s="8">
        <v>1.25</v>
      </c>
      <c r="I11">
        <f t="shared" si="1"/>
        <v>60</v>
      </c>
      <c r="K11" s="6">
        <v>99.02</v>
      </c>
      <c r="L11" s="9">
        <v>1.4</v>
      </c>
      <c r="O11">
        <f t="shared" si="2"/>
        <v>60</v>
      </c>
      <c r="Q11" s="6">
        <v>34.200000000000003</v>
      </c>
      <c r="R11" s="9">
        <v>1.4</v>
      </c>
      <c r="U11">
        <f t="shared" si="4"/>
        <v>60</v>
      </c>
      <c r="W11" s="6">
        <v>28.33</v>
      </c>
      <c r="X11" s="9">
        <v>1.4</v>
      </c>
      <c r="AA11">
        <f t="shared" si="5"/>
        <v>60</v>
      </c>
      <c r="AC11" s="5">
        <v>156.4</v>
      </c>
      <c r="AD11" s="8">
        <v>1.25</v>
      </c>
      <c r="AG11">
        <f t="shared" si="6"/>
        <v>60</v>
      </c>
      <c r="AI11" s="6">
        <v>23.02</v>
      </c>
      <c r="AJ11" s="9">
        <v>1.4</v>
      </c>
      <c r="AM11">
        <f t="shared" si="7"/>
        <v>60</v>
      </c>
      <c r="AO11" s="6">
        <v>54.61</v>
      </c>
      <c r="AP11" s="9">
        <v>1.4</v>
      </c>
      <c r="AS11">
        <f t="shared" si="8"/>
        <v>60</v>
      </c>
      <c r="AU11" s="6">
        <v>32.700000000000003</v>
      </c>
      <c r="AV11" s="9">
        <v>1.4</v>
      </c>
      <c r="AY11">
        <f t="shared" si="9"/>
        <v>60</v>
      </c>
      <c r="BA11" s="5">
        <v>109.5</v>
      </c>
      <c r="BB11" s="8">
        <v>1.25</v>
      </c>
    </row>
    <row r="12" spans="1:54" x14ac:dyDescent="0.3">
      <c r="C12">
        <f t="shared" si="0"/>
        <v>70</v>
      </c>
      <c r="E12" s="5">
        <v>138.5</v>
      </c>
      <c r="F12" s="8">
        <v>1.25</v>
      </c>
      <c r="I12">
        <f t="shared" si="1"/>
        <v>70</v>
      </c>
      <c r="K12" s="5">
        <v>115.2</v>
      </c>
      <c r="L12" s="8">
        <v>1.25</v>
      </c>
      <c r="O12">
        <f t="shared" si="2"/>
        <v>70</v>
      </c>
      <c r="Q12" s="6">
        <v>41.47</v>
      </c>
      <c r="R12" s="9">
        <v>1.4</v>
      </c>
      <c r="U12">
        <f t="shared" si="4"/>
        <v>70</v>
      </c>
      <c r="W12" s="6">
        <v>13.23</v>
      </c>
      <c r="X12" s="9">
        <v>1.4</v>
      </c>
      <c r="AA12">
        <f t="shared" si="5"/>
        <v>70</v>
      </c>
      <c r="AC12" s="5">
        <v>134.30000000000001</v>
      </c>
      <c r="AD12" s="8">
        <v>1.25</v>
      </c>
      <c r="AG12">
        <f t="shared" si="6"/>
        <v>70</v>
      </c>
      <c r="AI12" s="6">
        <v>12.37</v>
      </c>
      <c r="AJ12" s="9">
        <v>1.4</v>
      </c>
      <c r="AM12">
        <f t="shared" si="7"/>
        <v>70</v>
      </c>
      <c r="AO12" s="6">
        <v>69.569999999999993</v>
      </c>
      <c r="AP12" s="9">
        <v>1.4</v>
      </c>
      <c r="AS12">
        <f t="shared" si="8"/>
        <v>70</v>
      </c>
      <c r="AU12" s="6">
        <v>47.12</v>
      </c>
      <c r="AV12" s="9">
        <v>1.4</v>
      </c>
      <c r="AY12">
        <f t="shared" si="9"/>
        <v>70</v>
      </c>
      <c r="BA12" s="5">
        <v>133.9</v>
      </c>
      <c r="BB12" s="8">
        <v>1.25</v>
      </c>
    </row>
    <row r="13" spans="1:54" x14ac:dyDescent="0.3">
      <c r="C13">
        <f t="shared" si="0"/>
        <v>80</v>
      </c>
      <c r="E13" s="5">
        <v>131.19999999999999</v>
      </c>
      <c r="F13" s="8">
        <v>1.25</v>
      </c>
      <c r="I13">
        <f t="shared" si="1"/>
        <v>80</v>
      </c>
      <c r="K13" s="5">
        <v>138.19999999999999</v>
      </c>
      <c r="L13" s="8">
        <v>1.25</v>
      </c>
      <c r="O13">
        <f t="shared" si="2"/>
        <v>80</v>
      </c>
      <c r="Q13" s="6">
        <v>63.6</v>
      </c>
      <c r="R13" s="9">
        <v>1.4</v>
      </c>
      <c r="U13">
        <f t="shared" si="4"/>
        <v>80</v>
      </c>
      <c r="W13" s="6">
        <v>16.3</v>
      </c>
      <c r="X13" s="9">
        <v>1.4</v>
      </c>
      <c r="AA13">
        <f t="shared" si="5"/>
        <v>80</v>
      </c>
      <c r="AC13" s="5">
        <v>113.3</v>
      </c>
      <c r="AD13" s="8">
        <v>1.25</v>
      </c>
      <c r="AG13">
        <f t="shared" si="6"/>
        <v>80</v>
      </c>
      <c r="AI13" s="6">
        <v>21.15</v>
      </c>
      <c r="AJ13" s="9">
        <v>1.4</v>
      </c>
      <c r="AM13">
        <f t="shared" si="7"/>
        <v>80</v>
      </c>
      <c r="AO13" s="5">
        <v>103.3</v>
      </c>
      <c r="AP13" s="8">
        <v>1.25</v>
      </c>
      <c r="AS13">
        <f t="shared" si="8"/>
        <v>80</v>
      </c>
      <c r="AU13" s="6">
        <v>77.400000000000006</v>
      </c>
      <c r="AV13" s="9">
        <v>1.4</v>
      </c>
      <c r="AY13">
        <f t="shared" si="9"/>
        <v>80</v>
      </c>
      <c r="BA13" s="5">
        <v>158.69999999999999</v>
      </c>
      <c r="BB13" s="8">
        <v>1.25</v>
      </c>
    </row>
    <row r="14" spans="1:54" x14ac:dyDescent="0.3">
      <c r="C14">
        <f t="shared" si="0"/>
        <v>90</v>
      </c>
      <c r="E14" s="5">
        <v>122.8</v>
      </c>
      <c r="F14" s="8">
        <v>1.25</v>
      </c>
      <c r="I14">
        <f t="shared" si="1"/>
        <v>90</v>
      </c>
      <c r="K14" s="5">
        <v>168.3</v>
      </c>
      <c r="L14" s="8">
        <v>1.25</v>
      </c>
      <c r="O14">
        <f t="shared" si="2"/>
        <v>90</v>
      </c>
      <c r="Q14" s="5">
        <v>104.9</v>
      </c>
      <c r="R14" s="8">
        <f t="shared" si="3"/>
        <v>1.25</v>
      </c>
      <c r="U14">
        <f t="shared" si="4"/>
        <v>90</v>
      </c>
      <c r="W14" s="6">
        <v>42.11</v>
      </c>
      <c r="X14" s="9">
        <v>1.4</v>
      </c>
      <c r="AA14">
        <f t="shared" si="5"/>
        <v>90</v>
      </c>
      <c r="AC14" s="6">
        <v>99.27</v>
      </c>
      <c r="AD14" s="9">
        <v>1.4</v>
      </c>
      <c r="AG14">
        <f t="shared" si="6"/>
        <v>90</v>
      </c>
      <c r="AI14" s="6">
        <v>51.54</v>
      </c>
      <c r="AJ14" s="9">
        <v>1.4</v>
      </c>
      <c r="AM14">
        <f t="shared" si="7"/>
        <v>90</v>
      </c>
      <c r="AO14" s="5">
        <v>141.30000000000001</v>
      </c>
      <c r="AP14" s="8">
        <v>1.25</v>
      </c>
      <c r="AS14">
        <f t="shared" si="8"/>
        <v>90</v>
      </c>
      <c r="AU14" s="5">
        <v>122.1</v>
      </c>
      <c r="AV14" s="8">
        <v>1.25</v>
      </c>
      <c r="AY14">
        <f t="shared" si="9"/>
        <v>90</v>
      </c>
      <c r="BA14" s="5">
        <v>190.1</v>
      </c>
      <c r="BB14" s="8">
        <v>1.25</v>
      </c>
    </row>
    <row r="15" spans="1:54" x14ac:dyDescent="0.3">
      <c r="B15" t="s">
        <v>7</v>
      </c>
      <c r="C15">
        <f t="shared" si="0"/>
        <v>100</v>
      </c>
      <c r="E15" s="5">
        <v>117</v>
      </c>
      <c r="F15" s="8">
        <v>1.25</v>
      </c>
      <c r="I15">
        <f t="shared" si="1"/>
        <v>100</v>
      </c>
      <c r="K15" s="5">
        <v>198.7</v>
      </c>
      <c r="L15" s="8">
        <v>1.25</v>
      </c>
      <c r="O15">
        <f t="shared" si="2"/>
        <v>100</v>
      </c>
      <c r="Q15" s="5">
        <v>150.9</v>
      </c>
      <c r="R15" s="8">
        <f t="shared" si="3"/>
        <v>1.25</v>
      </c>
      <c r="U15">
        <f t="shared" si="4"/>
        <v>100</v>
      </c>
      <c r="W15" s="6">
        <v>80.03</v>
      </c>
      <c r="X15" s="9">
        <v>1.4</v>
      </c>
      <c r="AA15">
        <f t="shared" si="5"/>
        <v>100</v>
      </c>
      <c r="AC15" s="6">
        <v>94.88</v>
      </c>
      <c r="AD15" s="9">
        <v>1.4</v>
      </c>
      <c r="AG15">
        <f t="shared" si="6"/>
        <v>100</v>
      </c>
      <c r="AI15" s="6">
        <v>88.59</v>
      </c>
      <c r="AJ15" s="9">
        <v>1.4</v>
      </c>
      <c r="AM15">
        <f t="shared" si="7"/>
        <v>100</v>
      </c>
      <c r="AO15" s="5">
        <v>184.4</v>
      </c>
      <c r="AP15" s="8">
        <v>1.25</v>
      </c>
      <c r="AS15">
        <f t="shared" si="8"/>
        <v>100</v>
      </c>
      <c r="AU15" s="5">
        <v>167.7</v>
      </c>
      <c r="AV15" s="8">
        <v>1.25</v>
      </c>
      <c r="AY15">
        <f t="shared" si="9"/>
        <v>100</v>
      </c>
      <c r="BA15" s="5">
        <v>213.4</v>
      </c>
      <c r="BB15" s="8">
        <v>1.25</v>
      </c>
    </row>
    <row r="16" spans="1:54" x14ac:dyDescent="0.3">
      <c r="B16" t="s">
        <v>8</v>
      </c>
      <c r="C16">
        <f t="shared" si="0"/>
        <v>110</v>
      </c>
      <c r="E16" s="5">
        <v>124.5</v>
      </c>
      <c r="F16" s="8">
        <v>1.25</v>
      </c>
      <c r="I16">
        <f t="shared" si="1"/>
        <v>110</v>
      </c>
      <c r="K16" s="5">
        <v>223.6</v>
      </c>
      <c r="L16" s="8">
        <v>1.25</v>
      </c>
      <c r="O16">
        <f t="shared" si="2"/>
        <v>110</v>
      </c>
      <c r="Q16" s="5">
        <v>199.7</v>
      </c>
      <c r="R16" s="8">
        <f t="shared" si="3"/>
        <v>1.25</v>
      </c>
      <c r="U16">
        <f t="shared" si="4"/>
        <v>110</v>
      </c>
      <c r="W16" s="5">
        <v>134.4</v>
      </c>
      <c r="X16" s="8">
        <v>1.25</v>
      </c>
      <c r="AA16">
        <f t="shared" si="5"/>
        <v>110</v>
      </c>
      <c r="AC16" s="5">
        <v>101.8</v>
      </c>
      <c r="AD16" s="8">
        <v>1.25</v>
      </c>
      <c r="AG16">
        <f t="shared" si="6"/>
        <v>110</v>
      </c>
      <c r="AI16" s="5">
        <v>138</v>
      </c>
      <c r="AJ16" s="8">
        <v>1.25</v>
      </c>
      <c r="AM16">
        <f t="shared" si="7"/>
        <v>110</v>
      </c>
      <c r="AO16" s="5">
        <v>221.4</v>
      </c>
      <c r="AP16" s="8">
        <v>1.25</v>
      </c>
      <c r="AS16">
        <f t="shared" si="8"/>
        <v>110</v>
      </c>
      <c r="AU16" s="5">
        <v>215.3</v>
      </c>
      <c r="AV16" s="8">
        <v>1.25</v>
      </c>
      <c r="AY16">
        <f t="shared" si="9"/>
        <v>110</v>
      </c>
      <c r="BA16" s="5">
        <v>234.9</v>
      </c>
      <c r="BB16" s="8">
        <v>1.25</v>
      </c>
    </row>
    <row r="17" spans="2:54" x14ac:dyDescent="0.3">
      <c r="B17" t="s">
        <v>9</v>
      </c>
      <c r="C17">
        <f t="shared" si="0"/>
        <v>120</v>
      </c>
      <c r="E17" s="5">
        <v>139.19999999999999</v>
      </c>
      <c r="F17" s="8">
        <v>1.25</v>
      </c>
      <c r="I17">
        <f t="shared" si="1"/>
        <v>120</v>
      </c>
      <c r="K17" s="5">
        <v>244.4</v>
      </c>
      <c r="L17" s="8">
        <v>1.25</v>
      </c>
      <c r="O17">
        <f t="shared" si="2"/>
        <v>120</v>
      </c>
      <c r="Q17" s="5">
        <v>243.3</v>
      </c>
      <c r="R17" s="8">
        <f t="shared" si="3"/>
        <v>1.25</v>
      </c>
      <c r="U17">
        <f t="shared" si="4"/>
        <v>120</v>
      </c>
      <c r="W17" s="5">
        <v>188.2</v>
      </c>
      <c r="X17" s="8">
        <v>1.25</v>
      </c>
      <c r="AA17">
        <f t="shared" si="5"/>
        <v>120</v>
      </c>
      <c r="AC17" s="5">
        <v>115.9</v>
      </c>
      <c r="AD17" s="8">
        <v>1.25</v>
      </c>
      <c r="AG17">
        <f t="shared" si="6"/>
        <v>120</v>
      </c>
      <c r="AI17" s="5">
        <v>189.9</v>
      </c>
      <c r="AJ17" s="8">
        <v>1.25</v>
      </c>
      <c r="AM17">
        <f t="shared" si="7"/>
        <v>120</v>
      </c>
      <c r="AO17" s="5">
        <v>254.7</v>
      </c>
      <c r="AP17" s="8">
        <v>1.25</v>
      </c>
      <c r="AS17">
        <f t="shared" si="8"/>
        <v>120</v>
      </c>
      <c r="AU17" s="5">
        <v>257.7</v>
      </c>
      <c r="AV17" s="8">
        <v>1.25</v>
      </c>
      <c r="AY17">
        <f t="shared" si="9"/>
        <v>120</v>
      </c>
      <c r="BA17" s="5">
        <v>245.6</v>
      </c>
      <c r="BB17" s="8">
        <v>1.25</v>
      </c>
    </row>
    <row r="18" spans="2:54" x14ac:dyDescent="0.3">
      <c r="B18" t="s">
        <v>10</v>
      </c>
      <c r="C18">
        <f t="shared" si="0"/>
        <v>130</v>
      </c>
      <c r="E18" s="5">
        <v>156.69999999999999</v>
      </c>
      <c r="F18" s="8">
        <v>1.25</v>
      </c>
      <c r="I18">
        <f t="shared" si="1"/>
        <v>130</v>
      </c>
      <c r="K18" s="5">
        <v>257.8</v>
      </c>
      <c r="L18" s="8">
        <v>1.25</v>
      </c>
      <c r="O18">
        <f t="shared" si="2"/>
        <v>130</v>
      </c>
      <c r="Q18" s="5">
        <v>279.60000000000002</v>
      </c>
      <c r="R18" s="8">
        <f t="shared" si="3"/>
        <v>1.25</v>
      </c>
      <c r="U18">
        <f t="shared" si="4"/>
        <v>130</v>
      </c>
      <c r="W18" s="5">
        <v>237.7</v>
      </c>
      <c r="X18" s="8">
        <v>1.25</v>
      </c>
      <c r="AA18">
        <f t="shared" si="5"/>
        <v>130</v>
      </c>
      <c r="AC18" s="5">
        <v>134.4</v>
      </c>
      <c r="AD18" s="8">
        <v>1.25</v>
      </c>
      <c r="AG18">
        <f t="shared" si="6"/>
        <v>130</v>
      </c>
      <c r="AI18" s="5">
        <v>235.7</v>
      </c>
      <c r="AJ18" s="8">
        <v>1.25</v>
      </c>
      <c r="AM18">
        <f t="shared" si="7"/>
        <v>130</v>
      </c>
      <c r="AO18" s="5">
        <v>277.8</v>
      </c>
      <c r="AP18" s="8">
        <v>1.25</v>
      </c>
      <c r="AS18">
        <f t="shared" si="8"/>
        <v>130</v>
      </c>
      <c r="AU18" s="5">
        <v>285.2</v>
      </c>
      <c r="AV18" s="8">
        <v>1.25</v>
      </c>
      <c r="AY18">
        <f t="shared" si="9"/>
        <v>130</v>
      </c>
      <c r="BA18" s="5">
        <v>250</v>
      </c>
      <c r="BB18" s="8">
        <v>1.25</v>
      </c>
    </row>
    <row r="19" spans="2:54" x14ac:dyDescent="0.3">
      <c r="B19" t="s">
        <v>11</v>
      </c>
      <c r="C19">
        <f t="shared" si="0"/>
        <v>140</v>
      </c>
      <c r="E19" s="5">
        <v>172.8</v>
      </c>
      <c r="F19" s="8">
        <v>1.25</v>
      </c>
      <c r="I19">
        <f t="shared" si="1"/>
        <v>140</v>
      </c>
      <c r="K19" s="5">
        <v>259.8</v>
      </c>
      <c r="L19" s="8">
        <v>1.25</v>
      </c>
      <c r="O19">
        <f t="shared" si="2"/>
        <v>140</v>
      </c>
      <c r="Q19" s="5">
        <v>298.7</v>
      </c>
      <c r="R19" s="8">
        <f t="shared" si="3"/>
        <v>1.25</v>
      </c>
      <c r="U19">
        <f t="shared" si="4"/>
        <v>140</v>
      </c>
      <c r="W19" s="5">
        <v>281.60000000000002</v>
      </c>
      <c r="X19" s="8">
        <v>1.25</v>
      </c>
      <c r="AA19">
        <f t="shared" si="5"/>
        <v>140</v>
      </c>
      <c r="AC19" s="5">
        <v>157.69999999999999</v>
      </c>
      <c r="AD19" s="8">
        <v>1.25</v>
      </c>
      <c r="AG19">
        <f t="shared" si="6"/>
        <v>140</v>
      </c>
      <c r="AI19" s="5">
        <v>278.5</v>
      </c>
      <c r="AJ19" s="8">
        <v>1.25</v>
      </c>
      <c r="AM19">
        <f t="shared" si="7"/>
        <v>140</v>
      </c>
      <c r="AO19" s="5">
        <v>282.10000000000002</v>
      </c>
      <c r="AP19" s="8">
        <v>1.25</v>
      </c>
      <c r="AS19">
        <f t="shared" si="8"/>
        <v>140</v>
      </c>
      <c r="AU19" s="5">
        <v>300.39999999999998</v>
      </c>
      <c r="AV19" s="8">
        <v>1.25</v>
      </c>
      <c r="AY19">
        <f t="shared" si="9"/>
        <v>140</v>
      </c>
      <c r="BA19" s="5">
        <v>241.7</v>
      </c>
      <c r="BB19" s="8">
        <v>1.25</v>
      </c>
    </row>
    <row r="20" spans="2:54" x14ac:dyDescent="0.3">
      <c r="B20" t="s">
        <v>12</v>
      </c>
      <c r="C20">
        <f t="shared" si="0"/>
        <v>150</v>
      </c>
      <c r="E20" s="5">
        <v>200.8</v>
      </c>
      <c r="F20" s="8">
        <v>1.25</v>
      </c>
      <c r="I20">
        <f t="shared" si="1"/>
        <v>150</v>
      </c>
      <c r="K20" s="5">
        <v>250</v>
      </c>
      <c r="L20" s="8">
        <v>1.25</v>
      </c>
      <c r="O20">
        <f t="shared" si="2"/>
        <v>150</v>
      </c>
      <c r="Q20" s="5">
        <v>309.10000000000002</v>
      </c>
      <c r="R20" s="8">
        <f t="shared" si="3"/>
        <v>1.25</v>
      </c>
      <c r="U20">
        <f t="shared" si="4"/>
        <v>150</v>
      </c>
      <c r="W20" s="5">
        <v>315.3</v>
      </c>
      <c r="X20" s="8">
        <v>1.25</v>
      </c>
      <c r="AA20">
        <f t="shared" si="5"/>
        <v>150</v>
      </c>
      <c r="AC20" s="5">
        <v>183.9</v>
      </c>
      <c r="AD20" s="8">
        <v>1.25</v>
      </c>
      <c r="AG20">
        <f t="shared" si="6"/>
        <v>150</v>
      </c>
      <c r="AI20" s="5">
        <v>302.10000000000002</v>
      </c>
      <c r="AJ20" s="8">
        <v>1.25</v>
      </c>
      <c r="AM20">
        <f t="shared" si="7"/>
        <v>150</v>
      </c>
      <c r="AO20" s="5">
        <v>278.60000000000002</v>
      </c>
      <c r="AP20" s="8">
        <v>1.25</v>
      </c>
      <c r="AS20">
        <f t="shared" si="8"/>
        <v>150</v>
      </c>
      <c r="AU20" s="5">
        <v>301.7</v>
      </c>
      <c r="AV20" s="8">
        <v>1.25</v>
      </c>
      <c r="AY20">
        <f t="shared" si="9"/>
        <v>150</v>
      </c>
      <c r="BA20" s="5">
        <v>227.8</v>
      </c>
      <c r="BB20" s="8">
        <v>1.25</v>
      </c>
    </row>
    <row r="21" spans="2:54" x14ac:dyDescent="0.3">
      <c r="B21" t="s">
        <v>13</v>
      </c>
      <c r="C21">
        <f t="shared" si="0"/>
        <v>160</v>
      </c>
      <c r="E21" s="5">
        <v>206.7</v>
      </c>
      <c r="F21" s="8">
        <v>1.25</v>
      </c>
      <c r="I21">
        <f t="shared" si="1"/>
        <v>160</v>
      </c>
      <c r="K21" s="5">
        <v>233.3</v>
      </c>
      <c r="L21" s="8">
        <v>1.25</v>
      </c>
      <c r="O21">
        <f t="shared" si="2"/>
        <v>160</v>
      </c>
      <c r="Q21" s="5">
        <v>297.60000000000002</v>
      </c>
      <c r="R21" s="8">
        <f t="shared" si="3"/>
        <v>1.25</v>
      </c>
      <c r="U21">
        <f t="shared" si="4"/>
        <v>160</v>
      </c>
      <c r="W21" s="5">
        <v>325.60000000000002</v>
      </c>
      <c r="X21" s="8">
        <v>1.25</v>
      </c>
      <c r="AA21">
        <f t="shared" si="5"/>
        <v>160</v>
      </c>
      <c r="AC21" s="5">
        <v>204.3</v>
      </c>
      <c r="AD21" s="8">
        <v>1.25</v>
      </c>
      <c r="AG21">
        <f t="shared" si="6"/>
        <v>160</v>
      </c>
      <c r="AI21" s="5">
        <v>310.89999999999998</v>
      </c>
      <c r="AJ21" s="8">
        <v>1.25</v>
      </c>
      <c r="AM21">
        <f t="shared" si="7"/>
        <v>160</v>
      </c>
      <c r="AO21" s="5">
        <v>256.89999999999998</v>
      </c>
      <c r="AP21" s="8">
        <v>1.25</v>
      </c>
      <c r="AS21">
        <f t="shared" si="8"/>
        <v>160</v>
      </c>
      <c r="AU21" s="5">
        <v>283.3</v>
      </c>
      <c r="AV21" s="8">
        <v>1.25</v>
      </c>
      <c r="AY21">
        <f t="shared" si="9"/>
        <v>160</v>
      </c>
      <c r="BA21" s="5">
        <v>204.4</v>
      </c>
      <c r="BB21" s="8">
        <v>1.25</v>
      </c>
    </row>
    <row r="22" spans="2:54" x14ac:dyDescent="0.3">
      <c r="B22" t="s">
        <v>14</v>
      </c>
      <c r="C22">
        <f t="shared" si="0"/>
        <v>170</v>
      </c>
      <c r="E22" s="5">
        <v>217.2</v>
      </c>
      <c r="F22" s="8">
        <v>1.25</v>
      </c>
      <c r="I22">
        <f t="shared" si="1"/>
        <v>170</v>
      </c>
      <c r="K22" s="5">
        <v>205.3</v>
      </c>
      <c r="L22" s="8">
        <v>1.25</v>
      </c>
      <c r="O22">
        <f t="shared" si="2"/>
        <v>170</v>
      </c>
      <c r="Q22" s="5">
        <v>275.5</v>
      </c>
      <c r="R22" s="8">
        <f t="shared" si="3"/>
        <v>1.25</v>
      </c>
      <c r="U22">
        <f t="shared" si="4"/>
        <v>170</v>
      </c>
      <c r="W22" s="5">
        <v>313.39999999999998</v>
      </c>
      <c r="X22" s="8">
        <v>1.25</v>
      </c>
      <c r="AA22">
        <f t="shared" si="5"/>
        <v>170</v>
      </c>
      <c r="AC22" s="5">
        <v>209.8</v>
      </c>
      <c r="AD22" s="8">
        <v>1.25</v>
      </c>
      <c r="AG22">
        <f t="shared" si="6"/>
        <v>170</v>
      </c>
      <c r="AI22" s="5">
        <v>299.89999999999998</v>
      </c>
      <c r="AJ22" s="8">
        <v>1.25</v>
      </c>
      <c r="AM22">
        <f t="shared" si="7"/>
        <v>170</v>
      </c>
      <c r="AO22" s="5">
        <v>225.6</v>
      </c>
      <c r="AP22" s="8">
        <v>1.25</v>
      </c>
      <c r="AS22">
        <f t="shared" si="8"/>
        <v>170</v>
      </c>
      <c r="AU22" s="5">
        <v>255.6</v>
      </c>
      <c r="AV22" s="8">
        <v>1.25</v>
      </c>
      <c r="AY22">
        <f t="shared" si="9"/>
        <v>170</v>
      </c>
      <c r="BA22" s="5">
        <v>179.6</v>
      </c>
      <c r="BB22" s="8">
        <v>1.25</v>
      </c>
    </row>
    <row r="23" spans="2:54" x14ac:dyDescent="0.3">
      <c r="B23" t="s">
        <v>15</v>
      </c>
      <c r="C23">
        <f t="shared" si="0"/>
        <v>180</v>
      </c>
      <c r="E23" s="5">
        <v>221.6</v>
      </c>
      <c r="F23" s="8">
        <v>1.25</v>
      </c>
      <c r="I23">
        <f t="shared" si="1"/>
        <v>180</v>
      </c>
      <c r="K23" s="5">
        <v>178.2</v>
      </c>
      <c r="L23" s="8">
        <v>1.25</v>
      </c>
      <c r="O23">
        <f t="shared" si="2"/>
        <v>180</v>
      </c>
      <c r="Q23" s="5">
        <v>233.2</v>
      </c>
      <c r="R23" s="8">
        <f t="shared" si="3"/>
        <v>1.25</v>
      </c>
      <c r="U23">
        <f t="shared" si="4"/>
        <v>180</v>
      </c>
      <c r="W23" s="5">
        <v>279.89999999999998</v>
      </c>
      <c r="X23" s="8">
        <v>1.25</v>
      </c>
      <c r="AA23">
        <f t="shared" si="5"/>
        <v>180</v>
      </c>
      <c r="AC23" s="5">
        <v>222.7</v>
      </c>
      <c r="AD23" s="8">
        <v>1.25</v>
      </c>
      <c r="AG23">
        <f t="shared" si="6"/>
        <v>180</v>
      </c>
      <c r="AI23" s="5">
        <v>277.60000000000002</v>
      </c>
      <c r="AJ23" s="8">
        <v>1.25</v>
      </c>
      <c r="AM23">
        <f t="shared" si="7"/>
        <v>180</v>
      </c>
      <c r="AO23" s="5">
        <v>187.6</v>
      </c>
      <c r="AP23" s="8">
        <v>1.25</v>
      </c>
      <c r="AS23">
        <f t="shared" si="8"/>
        <v>180</v>
      </c>
      <c r="AU23" s="5">
        <v>210.5</v>
      </c>
      <c r="AV23" s="8">
        <v>1.25</v>
      </c>
      <c r="AY23">
        <f t="shared" si="9"/>
        <v>180</v>
      </c>
      <c r="BA23" s="5">
        <v>152.9</v>
      </c>
      <c r="BB23" s="8">
        <v>1.25</v>
      </c>
    </row>
    <row r="24" spans="2:54" x14ac:dyDescent="0.3">
      <c r="B24" t="s">
        <v>16</v>
      </c>
      <c r="C24">
        <f t="shared" si="0"/>
        <v>190</v>
      </c>
      <c r="E24" s="5">
        <v>222.3</v>
      </c>
      <c r="F24" s="8">
        <v>1.25</v>
      </c>
      <c r="I24">
        <f t="shared" si="1"/>
        <v>190</v>
      </c>
      <c r="K24" s="5">
        <v>148.30000000000001</v>
      </c>
      <c r="L24" s="8">
        <v>1.25</v>
      </c>
      <c r="O24">
        <f t="shared" si="2"/>
        <v>190</v>
      </c>
      <c r="Q24" s="5">
        <v>190.9</v>
      </c>
      <c r="R24" s="8">
        <f t="shared" si="3"/>
        <v>1.25</v>
      </c>
      <c r="U24">
        <f t="shared" si="4"/>
        <v>190</v>
      </c>
      <c r="W24" s="5">
        <v>245</v>
      </c>
      <c r="X24" s="8">
        <v>1.25</v>
      </c>
      <c r="AA24">
        <f t="shared" si="5"/>
        <v>190</v>
      </c>
      <c r="AC24" s="5">
        <v>227.5</v>
      </c>
      <c r="AD24" s="8">
        <v>1.25</v>
      </c>
      <c r="AG24">
        <f t="shared" si="6"/>
        <v>190</v>
      </c>
      <c r="AI24" s="5">
        <v>237.2</v>
      </c>
      <c r="AJ24" s="8">
        <v>1.25</v>
      </c>
      <c r="AM24">
        <f t="shared" si="7"/>
        <v>190</v>
      </c>
      <c r="AO24" s="5">
        <v>144.1</v>
      </c>
      <c r="AP24" s="8">
        <v>1.25</v>
      </c>
      <c r="AS24">
        <f t="shared" si="8"/>
        <v>190</v>
      </c>
      <c r="AU24" s="5">
        <v>163.4</v>
      </c>
      <c r="AV24" s="8">
        <v>1.25</v>
      </c>
      <c r="AY24">
        <f t="shared" si="9"/>
        <v>190</v>
      </c>
      <c r="BA24" s="5">
        <v>126.1</v>
      </c>
      <c r="BB24" s="8">
        <v>1.25</v>
      </c>
    </row>
    <row r="25" spans="2:54" x14ac:dyDescent="0.3">
      <c r="B25" t="s">
        <v>17</v>
      </c>
      <c r="C25">
        <f t="shared" si="0"/>
        <v>200</v>
      </c>
      <c r="E25" s="5">
        <v>218.4</v>
      </c>
      <c r="F25" s="8">
        <v>1.25</v>
      </c>
      <c r="I25">
        <f t="shared" si="1"/>
        <v>200</v>
      </c>
      <c r="K25" s="5">
        <v>127.1</v>
      </c>
      <c r="L25" s="8">
        <v>1.25</v>
      </c>
      <c r="O25">
        <f t="shared" si="2"/>
        <v>200</v>
      </c>
      <c r="Q25" s="5">
        <v>141.69999999999999</v>
      </c>
      <c r="R25" s="8">
        <f t="shared" si="3"/>
        <v>1.25</v>
      </c>
      <c r="U25">
        <f t="shared" si="4"/>
        <v>200</v>
      </c>
      <c r="W25" s="5">
        <v>200.5</v>
      </c>
      <c r="X25" s="8">
        <v>1.25</v>
      </c>
      <c r="AA25">
        <f t="shared" si="5"/>
        <v>200</v>
      </c>
      <c r="AC25" s="5">
        <v>223.1</v>
      </c>
      <c r="AD25" s="8">
        <v>1.25</v>
      </c>
      <c r="AG25">
        <f t="shared" si="6"/>
        <v>200</v>
      </c>
      <c r="AI25" s="5">
        <v>187.3</v>
      </c>
      <c r="AJ25" s="8">
        <v>1.25</v>
      </c>
      <c r="AM25">
        <f t="shared" si="7"/>
        <v>200</v>
      </c>
      <c r="AO25" s="5">
        <v>110</v>
      </c>
      <c r="AP25" s="8">
        <v>1.25</v>
      </c>
      <c r="AS25">
        <f t="shared" si="8"/>
        <v>200</v>
      </c>
      <c r="AU25" s="5">
        <v>120.8</v>
      </c>
      <c r="AV25" s="8">
        <v>1.25</v>
      </c>
      <c r="AY25">
        <f t="shared" si="9"/>
        <v>200</v>
      </c>
      <c r="BA25" s="5">
        <v>103.6</v>
      </c>
      <c r="BB25" s="8">
        <v>1.25</v>
      </c>
    </row>
    <row r="26" spans="2:54" x14ac:dyDescent="0.3">
      <c r="B26" t="s">
        <v>18</v>
      </c>
      <c r="C26">
        <f t="shared" si="0"/>
        <v>210</v>
      </c>
      <c r="E26" s="5">
        <v>204.3</v>
      </c>
      <c r="F26" s="8">
        <v>1.25</v>
      </c>
      <c r="I26">
        <f t="shared" si="1"/>
        <v>210</v>
      </c>
      <c r="K26" s="5">
        <v>105.6</v>
      </c>
      <c r="L26" s="8">
        <v>1.25</v>
      </c>
      <c r="O26">
        <f t="shared" si="2"/>
        <v>210</v>
      </c>
      <c r="Q26" s="5">
        <v>100.5</v>
      </c>
      <c r="R26" s="8">
        <f t="shared" si="3"/>
        <v>1.25</v>
      </c>
      <c r="U26">
        <f t="shared" si="4"/>
        <v>210</v>
      </c>
      <c r="W26" s="5">
        <v>148.30000000000001</v>
      </c>
      <c r="X26" s="8">
        <v>1.25</v>
      </c>
      <c r="AA26">
        <f t="shared" si="5"/>
        <v>210</v>
      </c>
      <c r="AC26" s="5">
        <v>210.6</v>
      </c>
      <c r="AD26" s="8">
        <v>1.25</v>
      </c>
      <c r="AG26">
        <f t="shared" si="6"/>
        <v>210</v>
      </c>
      <c r="AI26" s="5">
        <v>139.1</v>
      </c>
      <c r="AJ26" s="8">
        <v>1.25</v>
      </c>
      <c r="AM26">
        <f t="shared" si="7"/>
        <v>210</v>
      </c>
      <c r="AO26" s="6">
        <v>74.38</v>
      </c>
      <c r="AP26" s="9">
        <v>1.4</v>
      </c>
      <c r="AS26">
        <f t="shared" si="8"/>
        <v>210</v>
      </c>
      <c r="AU26" s="6">
        <v>77.41</v>
      </c>
      <c r="AV26" s="9">
        <v>1.4</v>
      </c>
      <c r="AY26">
        <f t="shared" si="9"/>
        <v>210</v>
      </c>
      <c r="BA26" s="6">
        <v>90.1</v>
      </c>
      <c r="BB26" s="9">
        <v>1.4</v>
      </c>
    </row>
    <row r="27" spans="2:54" x14ac:dyDescent="0.3">
      <c r="B27" t="s">
        <v>19</v>
      </c>
      <c r="C27">
        <f t="shared" si="0"/>
        <v>220</v>
      </c>
      <c r="E27" s="5">
        <v>193.8</v>
      </c>
      <c r="F27" s="8">
        <v>1.25</v>
      </c>
      <c r="I27">
        <f t="shared" si="1"/>
        <v>220</v>
      </c>
      <c r="K27" s="6">
        <v>92.56</v>
      </c>
      <c r="L27" s="9">
        <v>1.4</v>
      </c>
      <c r="O27">
        <f t="shared" si="2"/>
        <v>220</v>
      </c>
      <c r="Q27" s="6">
        <v>62.04</v>
      </c>
      <c r="R27" s="9">
        <v>1.4</v>
      </c>
      <c r="U27">
        <f t="shared" si="4"/>
        <v>220</v>
      </c>
      <c r="W27" s="6">
        <v>98.7</v>
      </c>
      <c r="X27" s="9">
        <v>1.4</v>
      </c>
      <c r="AA27">
        <f t="shared" si="5"/>
        <v>220</v>
      </c>
      <c r="AC27" s="5">
        <v>195</v>
      </c>
      <c r="AD27" s="8">
        <v>1.25</v>
      </c>
      <c r="AG27">
        <f t="shared" si="6"/>
        <v>220</v>
      </c>
      <c r="AI27" s="6">
        <v>87.26</v>
      </c>
      <c r="AJ27" s="9">
        <v>1.4</v>
      </c>
      <c r="AM27">
        <f t="shared" si="7"/>
        <v>220</v>
      </c>
      <c r="AO27" s="6">
        <v>55.31</v>
      </c>
      <c r="AP27" s="9">
        <v>1.4</v>
      </c>
      <c r="AS27">
        <f t="shared" si="8"/>
        <v>220</v>
      </c>
      <c r="AU27" s="6">
        <v>47.88</v>
      </c>
      <c r="AV27" s="9">
        <v>1.4</v>
      </c>
      <c r="AY27">
        <f t="shared" si="9"/>
        <v>220</v>
      </c>
      <c r="BA27" s="6">
        <v>84.79</v>
      </c>
      <c r="BB27" s="9">
        <v>1.4</v>
      </c>
    </row>
    <row r="28" spans="2:54" x14ac:dyDescent="0.3">
      <c r="B28" t="s">
        <v>20</v>
      </c>
      <c r="C28">
        <f t="shared" si="0"/>
        <v>230</v>
      </c>
      <c r="E28" s="5">
        <v>168.9</v>
      </c>
      <c r="F28" s="8">
        <v>1.25</v>
      </c>
      <c r="I28">
        <f t="shared" si="1"/>
        <v>230</v>
      </c>
      <c r="K28" s="6">
        <v>88.09</v>
      </c>
      <c r="L28" s="9">
        <v>1.4</v>
      </c>
      <c r="O28">
        <f t="shared" si="2"/>
        <v>230</v>
      </c>
      <c r="Q28" s="6">
        <v>39.79</v>
      </c>
      <c r="R28" s="9">
        <v>1.4</v>
      </c>
      <c r="U28">
        <f t="shared" si="4"/>
        <v>230</v>
      </c>
      <c r="W28" s="6">
        <v>55.23</v>
      </c>
      <c r="X28" s="9">
        <v>1.4</v>
      </c>
      <c r="AA28">
        <f t="shared" si="5"/>
        <v>230</v>
      </c>
      <c r="AC28" s="5">
        <v>171.7</v>
      </c>
      <c r="AD28" s="8">
        <v>1.25</v>
      </c>
      <c r="AG28">
        <f t="shared" si="6"/>
        <v>230</v>
      </c>
      <c r="AI28" s="6">
        <v>48.73</v>
      </c>
      <c r="AJ28" s="9">
        <v>1.4</v>
      </c>
      <c r="AM28">
        <f t="shared" si="7"/>
        <v>230</v>
      </c>
      <c r="AO28" s="6">
        <v>46.66</v>
      </c>
      <c r="AP28" s="9">
        <v>1.4</v>
      </c>
      <c r="AS28">
        <f t="shared" si="8"/>
        <v>230</v>
      </c>
      <c r="AU28" s="6">
        <v>32.22</v>
      </c>
      <c r="AV28" s="9">
        <v>1.4</v>
      </c>
      <c r="AY28">
        <f t="shared" si="9"/>
        <v>230</v>
      </c>
      <c r="BA28" s="6">
        <v>91.77</v>
      </c>
      <c r="BB28" s="9">
        <v>1.4</v>
      </c>
    </row>
    <row r="29" spans="2:54" x14ac:dyDescent="0.3">
      <c r="B29" t="s">
        <v>21</v>
      </c>
      <c r="C29">
        <f t="shared" si="0"/>
        <v>240</v>
      </c>
      <c r="E29" s="5">
        <v>149.4</v>
      </c>
      <c r="F29" s="8">
        <v>1.25</v>
      </c>
      <c r="I29">
        <f t="shared" si="1"/>
        <v>240</v>
      </c>
      <c r="K29" s="6">
        <v>96.9</v>
      </c>
      <c r="L29" s="9">
        <v>1.4</v>
      </c>
      <c r="O29">
        <f t="shared" si="2"/>
        <v>240</v>
      </c>
      <c r="Q29" s="6">
        <v>32.880000000000003</v>
      </c>
      <c r="R29" s="9">
        <v>1.4</v>
      </c>
      <c r="U29">
        <f t="shared" si="4"/>
        <v>240</v>
      </c>
      <c r="W29" s="6">
        <v>24.34</v>
      </c>
      <c r="X29" s="9">
        <v>1.4</v>
      </c>
      <c r="AA29">
        <f t="shared" si="5"/>
        <v>240</v>
      </c>
      <c r="AC29" s="5">
        <v>146.1</v>
      </c>
      <c r="AD29" s="8">
        <v>1.25</v>
      </c>
      <c r="AG29">
        <f t="shared" si="6"/>
        <v>240</v>
      </c>
      <c r="AI29" s="6">
        <v>20.21</v>
      </c>
      <c r="AJ29" s="9">
        <v>1.4</v>
      </c>
      <c r="AM29">
        <f t="shared" si="7"/>
        <v>240</v>
      </c>
      <c r="AO29" s="6">
        <v>53.17</v>
      </c>
      <c r="AP29" s="9">
        <v>1.4</v>
      </c>
      <c r="AS29">
        <f t="shared" si="8"/>
        <v>240</v>
      </c>
      <c r="AU29" s="6">
        <v>33.6</v>
      </c>
      <c r="AV29" s="9">
        <v>1.4</v>
      </c>
      <c r="AY29">
        <f t="shared" si="9"/>
        <v>240</v>
      </c>
      <c r="BA29" s="5">
        <v>106</v>
      </c>
      <c r="BB29" s="8">
        <v>1.25</v>
      </c>
    </row>
    <row r="30" spans="2:54" x14ac:dyDescent="0.3">
      <c r="B30" t="s">
        <v>22</v>
      </c>
      <c r="C30">
        <f t="shared" si="0"/>
        <v>250</v>
      </c>
      <c r="E30" s="5">
        <v>136.19999999999999</v>
      </c>
      <c r="F30" s="8">
        <v>1.25</v>
      </c>
      <c r="I30">
        <f t="shared" si="1"/>
        <v>250</v>
      </c>
      <c r="K30" s="5">
        <v>115.4</v>
      </c>
      <c r="L30" s="8">
        <v>1.25</v>
      </c>
      <c r="O30">
        <f t="shared" si="2"/>
        <v>250</v>
      </c>
      <c r="Q30" s="6">
        <v>42.14</v>
      </c>
      <c r="R30" s="9">
        <v>1.4</v>
      </c>
      <c r="U30">
        <f t="shared" si="4"/>
        <v>250</v>
      </c>
      <c r="W30" s="6">
        <v>11.77</v>
      </c>
      <c r="X30" s="9">
        <v>1.4</v>
      </c>
      <c r="AA30">
        <f t="shared" si="5"/>
        <v>250</v>
      </c>
      <c r="AC30" s="5">
        <v>125</v>
      </c>
      <c r="AD30" s="8">
        <v>1.25</v>
      </c>
      <c r="AG30">
        <f t="shared" si="6"/>
        <v>250</v>
      </c>
      <c r="AI30" s="6">
        <v>12.43</v>
      </c>
      <c r="AJ30" s="9">
        <v>1.4</v>
      </c>
      <c r="AM30">
        <f t="shared" si="7"/>
        <v>250</v>
      </c>
      <c r="AO30" s="6">
        <v>68.77</v>
      </c>
      <c r="AP30" s="9">
        <v>1.4</v>
      </c>
      <c r="AS30">
        <f t="shared" si="8"/>
        <v>250</v>
      </c>
      <c r="AU30" s="6">
        <v>50.25</v>
      </c>
      <c r="AV30" s="9">
        <v>1.4</v>
      </c>
      <c r="AY30">
        <f t="shared" si="9"/>
        <v>250</v>
      </c>
      <c r="BA30" s="5">
        <v>127.7</v>
      </c>
      <c r="BB30" s="8">
        <v>1.25</v>
      </c>
    </row>
    <row r="31" spans="2:54" x14ac:dyDescent="0.3">
      <c r="B31" t="s">
        <v>23</v>
      </c>
      <c r="C31">
        <f t="shared" si="0"/>
        <v>260</v>
      </c>
      <c r="E31" s="5">
        <v>129.1</v>
      </c>
      <c r="F31" s="8">
        <v>1.25</v>
      </c>
      <c r="I31">
        <f t="shared" si="1"/>
        <v>260</v>
      </c>
      <c r="K31" s="5">
        <v>137.19999999999999</v>
      </c>
      <c r="L31" s="8">
        <v>1.25</v>
      </c>
      <c r="O31">
        <f t="shared" si="2"/>
        <v>260</v>
      </c>
      <c r="Q31" s="6">
        <v>63.33</v>
      </c>
      <c r="R31" s="9">
        <v>1.4</v>
      </c>
      <c r="U31">
        <f t="shared" si="4"/>
        <v>260</v>
      </c>
      <c r="W31" s="6">
        <v>16.510000000000002</v>
      </c>
      <c r="X31" s="9">
        <v>1.4</v>
      </c>
      <c r="AA31">
        <f t="shared" si="5"/>
        <v>260</v>
      </c>
      <c r="AC31" s="5">
        <v>106.5</v>
      </c>
      <c r="AD31" s="8">
        <v>1.25</v>
      </c>
      <c r="AG31">
        <f t="shared" si="6"/>
        <v>260</v>
      </c>
      <c r="AI31" s="6">
        <v>19.579999999999998</v>
      </c>
      <c r="AJ31" s="9">
        <v>1.4</v>
      </c>
      <c r="AM31">
        <f t="shared" si="7"/>
        <v>260</v>
      </c>
      <c r="AO31" s="6">
        <v>99.64</v>
      </c>
      <c r="AP31" s="9">
        <v>1.4</v>
      </c>
      <c r="AS31">
        <f t="shared" si="8"/>
        <v>260</v>
      </c>
      <c r="AU31" s="6">
        <v>78.66</v>
      </c>
      <c r="AV31" s="9">
        <v>1.4</v>
      </c>
      <c r="AY31">
        <f t="shared" si="9"/>
        <v>260</v>
      </c>
      <c r="BA31" s="5">
        <v>149</v>
      </c>
      <c r="BB31" s="8">
        <v>1.25</v>
      </c>
    </row>
    <row r="32" spans="2:54" x14ac:dyDescent="0.3">
      <c r="B32">
        <v>-90</v>
      </c>
      <c r="C32">
        <f t="shared" si="0"/>
        <v>270</v>
      </c>
      <c r="E32" s="5">
        <v>115.3</v>
      </c>
      <c r="F32" s="8">
        <v>1.25</v>
      </c>
      <c r="I32">
        <f t="shared" si="1"/>
        <v>270</v>
      </c>
      <c r="K32" s="5">
        <v>161.4</v>
      </c>
      <c r="L32" s="8">
        <v>1.25</v>
      </c>
      <c r="O32">
        <f t="shared" si="2"/>
        <v>270</v>
      </c>
      <c r="Q32" s="5">
        <v>104.2</v>
      </c>
      <c r="R32" s="8">
        <f t="shared" si="3"/>
        <v>1.25</v>
      </c>
      <c r="U32">
        <f t="shared" si="4"/>
        <v>270</v>
      </c>
      <c r="W32" s="6">
        <v>41.21</v>
      </c>
      <c r="X32" s="9">
        <v>1.4</v>
      </c>
      <c r="AA32">
        <f t="shared" si="5"/>
        <v>270</v>
      </c>
      <c r="AC32" s="6">
        <v>92.76</v>
      </c>
      <c r="AD32" s="9">
        <v>1.4</v>
      </c>
      <c r="AG32">
        <f t="shared" si="6"/>
        <v>270</v>
      </c>
      <c r="AI32" s="6">
        <v>45.36</v>
      </c>
      <c r="AJ32" s="9">
        <v>1.4</v>
      </c>
      <c r="AM32">
        <f t="shared" si="7"/>
        <v>270</v>
      </c>
      <c r="AO32" s="5">
        <v>137.69999999999999</v>
      </c>
      <c r="AP32" s="8">
        <v>1.25</v>
      </c>
      <c r="AS32">
        <f t="shared" si="8"/>
        <v>270</v>
      </c>
      <c r="AU32" s="5">
        <v>126.1</v>
      </c>
      <c r="AV32" s="8">
        <v>1.25</v>
      </c>
      <c r="AY32">
        <f t="shared" si="9"/>
        <v>270</v>
      </c>
      <c r="BA32" s="5">
        <v>179.4</v>
      </c>
      <c r="BB32" s="8">
        <v>1.25</v>
      </c>
    </row>
    <row r="33" spans="2:54" x14ac:dyDescent="0.3">
      <c r="B33">
        <v>-80</v>
      </c>
      <c r="C33">
        <f t="shared" si="0"/>
        <v>280</v>
      </c>
      <c r="E33" s="5">
        <v>113.2</v>
      </c>
      <c r="F33" s="8">
        <v>1.25</v>
      </c>
      <c r="I33">
        <f t="shared" si="1"/>
        <v>280</v>
      </c>
      <c r="K33" s="5">
        <v>190.3</v>
      </c>
      <c r="L33" s="8">
        <v>1.25</v>
      </c>
      <c r="O33">
        <f t="shared" si="2"/>
        <v>280</v>
      </c>
      <c r="Q33" s="5">
        <v>146.5</v>
      </c>
      <c r="R33" s="8">
        <f t="shared" si="3"/>
        <v>1.25</v>
      </c>
      <c r="U33">
        <f t="shared" si="4"/>
        <v>280</v>
      </c>
      <c r="W33" s="6">
        <v>75.599999999999994</v>
      </c>
      <c r="X33" s="9">
        <v>1.4</v>
      </c>
      <c r="AA33">
        <f t="shared" si="5"/>
        <v>280</v>
      </c>
      <c r="AC33" s="6">
        <v>88.57</v>
      </c>
      <c r="AD33" s="9">
        <v>1.4</v>
      </c>
      <c r="AG33">
        <f t="shared" si="6"/>
        <v>280</v>
      </c>
      <c r="AI33" s="6">
        <v>84.45</v>
      </c>
      <c r="AJ33" s="9">
        <v>1.4</v>
      </c>
      <c r="AM33">
        <f t="shared" si="7"/>
        <v>280</v>
      </c>
      <c r="AO33" s="5">
        <v>174</v>
      </c>
      <c r="AP33" s="8">
        <v>1.25</v>
      </c>
      <c r="AS33">
        <f t="shared" si="8"/>
        <v>280</v>
      </c>
      <c r="AU33" s="5">
        <v>164.4</v>
      </c>
      <c r="AV33" s="8">
        <v>1.25</v>
      </c>
      <c r="AY33">
        <f t="shared" si="9"/>
        <v>280</v>
      </c>
      <c r="BA33" s="5">
        <v>197.4</v>
      </c>
      <c r="BB33" s="8">
        <v>1.25</v>
      </c>
    </row>
    <row r="34" spans="2:54" x14ac:dyDescent="0.3">
      <c r="B34">
        <v>-70</v>
      </c>
      <c r="C34">
        <f t="shared" si="0"/>
        <v>290</v>
      </c>
      <c r="E34" s="5">
        <v>119.4</v>
      </c>
      <c r="F34" s="8">
        <v>1.25</v>
      </c>
      <c r="I34">
        <f t="shared" si="1"/>
        <v>290</v>
      </c>
      <c r="K34" s="5">
        <v>209.5</v>
      </c>
      <c r="L34" s="8">
        <v>1.25</v>
      </c>
      <c r="O34">
        <f t="shared" si="2"/>
        <v>290</v>
      </c>
      <c r="Q34" s="5">
        <v>190.7</v>
      </c>
      <c r="R34" s="8">
        <f t="shared" si="3"/>
        <v>1.25</v>
      </c>
      <c r="U34">
        <f t="shared" si="4"/>
        <v>290</v>
      </c>
      <c r="W34" s="5">
        <v>124.6</v>
      </c>
      <c r="X34" s="8">
        <v>1.25</v>
      </c>
      <c r="AA34">
        <f t="shared" si="5"/>
        <v>290</v>
      </c>
      <c r="AC34" s="6">
        <v>92.3</v>
      </c>
      <c r="AD34" s="9">
        <v>1.4</v>
      </c>
      <c r="AG34">
        <f t="shared" si="6"/>
        <v>290</v>
      </c>
      <c r="AI34" s="5">
        <v>132.9</v>
      </c>
      <c r="AJ34" s="8">
        <v>1.25</v>
      </c>
      <c r="AM34">
        <f t="shared" si="7"/>
        <v>290</v>
      </c>
      <c r="AO34" s="5">
        <v>206.9</v>
      </c>
      <c r="AP34" s="8">
        <v>1.25</v>
      </c>
      <c r="AS34">
        <f t="shared" si="8"/>
        <v>290</v>
      </c>
      <c r="AU34" s="5">
        <v>207.2</v>
      </c>
      <c r="AV34" s="8">
        <v>1.25</v>
      </c>
      <c r="AY34">
        <f t="shared" si="9"/>
        <v>290</v>
      </c>
      <c r="BA34" s="5">
        <v>215.3</v>
      </c>
      <c r="BB34" s="8">
        <v>1.25</v>
      </c>
    </row>
    <row r="35" spans="2:54" x14ac:dyDescent="0.3">
      <c r="B35">
        <v>-60</v>
      </c>
      <c r="C35">
        <f t="shared" si="0"/>
        <v>300</v>
      </c>
      <c r="E35" s="5">
        <v>133.69999999999999</v>
      </c>
      <c r="F35" s="8">
        <v>1.25</v>
      </c>
      <c r="I35">
        <f t="shared" si="1"/>
        <v>300</v>
      </c>
      <c r="K35" s="5">
        <v>230.1</v>
      </c>
      <c r="L35" s="8">
        <v>1.25</v>
      </c>
      <c r="O35">
        <f t="shared" si="2"/>
        <v>300</v>
      </c>
      <c r="Q35" s="5">
        <v>231.5</v>
      </c>
      <c r="R35" s="8">
        <f t="shared" si="3"/>
        <v>1.25</v>
      </c>
      <c r="U35">
        <f t="shared" si="4"/>
        <v>300</v>
      </c>
      <c r="W35" s="5">
        <v>169.6</v>
      </c>
      <c r="X35" s="8">
        <v>1.25</v>
      </c>
      <c r="AA35">
        <f t="shared" si="5"/>
        <v>300</v>
      </c>
      <c r="AC35" s="5">
        <v>104.3</v>
      </c>
      <c r="AD35" s="8">
        <v>1.25</v>
      </c>
      <c r="AG35">
        <f t="shared" si="6"/>
        <v>300</v>
      </c>
      <c r="AI35" s="5">
        <v>178.9</v>
      </c>
      <c r="AJ35" s="8">
        <v>1.25</v>
      </c>
      <c r="AM35">
        <f t="shared" si="7"/>
        <v>300</v>
      </c>
      <c r="AO35" s="5">
        <v>244.5</v>
      </c>
      <c r="AP35" s="8">
        <v>1.25</v>
      </c>
      <c r="AS35">
        <f t="shared" si="8"/>
        <v>300</v>
      </c>
      <c r="AU35" s="5">
        <v>248.1</v>
      </c>
      <c r="AV35" s="8">
        <v>1.25</v>
      </c>
      <c r="AY35">
        <f t="shared" si="9"/>
        <v>300</v>
      </c>
      <c r="BA35" s="5">
        <v>233.7</v>
      </c>
      <c r="BB35" s="8">
        <v>1.25</v>
      </c>
    </row>
    <row r="36" spans="2:54" x14ac:dyDescent="0.3">
      <c r="B36">
        <v>-50</v>
      </c>
      <c r="C36">
        <f t="shared" si="0"/>
        <v>310</v>
      </c>
      <c r="E36" s="5">
        <v>144.69999999999999</v>
      </c>
      <c r="F36" s="8">
        <v>1.25</v>
      </c>
      <c r="I36">
        <f t="shared" si="1"/>
        <v>310</v>
      </c>
      <c r="K36" s="5">
        <v>242.5</v>
      </c>
      <c r="L36" s="8">
        <v>1.25</v>
      </c>
      <c r="O36">
        <f t="shared" si="2"/>
        <v>310</v>
      </c>
      <c r="Q36" s="5">
        <v>268.7</v>
      </c>
      <c r="R36" s="8">
        <f t="shared" si="3"/>
        <v>1.25</v>
      </c>
      <c r="U36">
        <f t="shared" si="4"/>
        <v>310</v>
      </c>
      <c r="W36" s="5">
        <v>220.1</v>
      </c>
      <c r="X36" s="8">
        <v>1.25</v>
      </c>
      <c r="AA36">
        <f t="shared" si="5"/>
        <v>310</v>
      </c>
      <c r="AC36" s="5">
        <v>123.5</v>
      </c>
      <c r="AD36" s="8">
        <v>1.25</v>
      </c>
      <c r="AG36">
        <f t="shared" si="6"/>
        <v>310</v>
      </c>
      <c r="AI36" s="5">
        <v>224.2</v>
      </c>
      <c r="AJ36" s="8">
        <v>1.25</v>
      </c>
      <c r="AM36">
        <f t="shared" si="7"/>
        <v>310</v>
      </c>
      <c r="AO36" s="5">
        <v>267.7</v>
      </c>
      <c r="AP36" s="8">
        <v>1.25</v>
      </c>
      <c r="AS36">
        <f t="shared" si="8"/>
        <v>310</v>
      </c>
      <c r="AU36" s="5">
        <v>279.8</v>
      </c>
      <c r="AV36" s="8">
        <v>1.25</v>
      </c>
      <c r="AY36">
        <f t="shared" si="9"/>
        <v>310</v>
      </c>
      <c r="BA36" s="5">
        <v>240</v>
      </c>
      <c r="BB36" s="8">
        <v>1.25</v>
      </c>
    </row>
    <row r="37" spans="2:54" x14ac:dyDescent="0.3">
      <c r="B37">
        <v>-40</v>
      </c>
      <c r="C37">
        <f t="shared" si="0"/>
        <v>320</v>
      </c>
      <c r="E37" s="5">
        <v>167.6</v>
      </c>
      <c r="F37" s="8">
        <v>1.25</v>
      </c>
      <c r="I37">
        <f t="shared" si="1"/>
        <v>320</v>
      </c>
      <c r="K37" s="5">
        <v>247.3</v>
      </c>
      <c r="L37" s="8">
        <v>1.25</v>
      </c>
      <c r="O37">
        <f t="shared" si="2"/>
        <v>320</v>
      </c>
      <c r="Q37" s="5">
        <v>289.2</v>
      </c>
      <c r="R37" s="8">
        <f t="shared" si="3"/>
        <v>1.25</v>
      </c>
      <c r="U37">
        <f t="shared" si="4"/>
        <v>320</v>
      </c>
      <c r="W37" s="5">
        <v>271</v>
      </c>
      <c r="X37" s="8">
        <v>1.25</v>
      </c>
      <c r="AA37">
        <f t="shared" si="5"/>
        <v>320</v>
      </c>
      <c r="AC37" s="5">
        <v>143.30000000000001</v>
      </c>
      <c r="AD37" s="8">
        <v>1.25</v>
      </c>
      <c r="AG37">
        <f t="shared" si="6"/>
        <v>320</v>
      </c>
      <c r="AI37" s="5">
        <v>269.89999999999998</v>
      </c>
      <c r="AJ37" s="8">
        <v>1.25</v>
      </c>
      <c r="AM37">
        <f t="shared" si="7"/>
        <v>320</v>
      </c>
      <c r="AO37" s="5">
        <v>277.7</v>
      </c>
      <c r="AP37" s="8">
        <v>1.25</v>
      </c>
      <c r="AS37">
        <f t="shared" si="8"/>
        <v>320</v>
      </c>
      <c r="AU37" s="5">
        <v>295.5</v>
      </c>
      <c r="AV37" s="8">
        <v>1.25</v>
      </c>
      <c r="AY37">
        <f t="shared" si="9"/>
        <v>320</v>
      </c>
      <c r="BA37" s="5">
        <v>237.7</v>
      </c>
      <c r="BB37" s="8">
        <v>1.25</v>
      </c>
    </row>
    <row r="38" spans="2:54" x14ac:dyDescent="0.3">
      <c r="B38">
        <v>-30</v>
      </c>
      <c r="C38">
        <f t="shared" si="0"/>
        <v>330</v>
      </c>
      <c r="E38" s="5">
        <v>189.4</v>
      </c>
      <c r="F38" s="8">
        <v>1.25</v>
      </c>
      <c r="I38">
        <f t="shared" si="1"/>
        <v>330</v>
      </c>
      <c r="K38" s="5">
        <v>241.2</v>
      </c>
      <c r="L38" s="8">
        <v>1.25</v>
      </c>
      <c r="O38">
        <f t="shared" si="2"/>
        <v>330</v>
      </c>
      <c r="Q38" s="5">
        <v>300</v>
      </c>
      <c r="R38" s="8">
        <f t="shared" si="3"/>
        <v>1.25</v>
      </c>
      <c r="U38">
        <f t="shared" si="4"/>
        <v>330</v>
      </c>
      <c r="W38" s="5">
        <v>291.39999999999998</v>
      </c>
      <c r="X38" s="8">
        <v>1.25</v>
      </c>
      <c r="AA38">
        <f t="shared" si="5"/>
        <v>330</v>
      </c>
      <c r="AC38" s="5">
        <v>168.6</v>
      </c>
      <c r="AD38" s="8">
        <v>1.25</v>
      </c>
      <c r="AG38">
        <f t="shared" si="6"/>
        <v>330</v>
      </c>
      <c r="AI38" s="5">
        <v>290.8</v>
      </c>
      <c r="AJ38" s="8">
        <v>1.25</v>
      </c>
      <c r="AM38">
        <f t="shared" si="7"/>
        <v>330</v>
      </c>
      <c r="AO38" s="5">
        <v>275</v>
      </c>
      <c r="AP38" s="8">
        <v>1.25</v>
      </c>
      <c r="AS38">
        <f t="shared" si="8"/>
        <v>330</v>
      </c>
      <c r="AU38" s="5">
        <v>296.39999999999998</v>
      </c>
      <c r="AV38" s="8">
        <v>1.25</v>
      </c>
      <c r="AY38">
        <f t="shared" si="9"/>
        <v>330</v>
      </c>
      <c r="BA38" s="5">
        <v>222.8</v>
      </c>
      <c r="BB38" s="8">
        <v>1.25</v>
      </c>
    </row>
    <row r="39" spans="2:54" x14ac:dyDescent="0.3">
      <c r="B39">
        <v>-20</v>
      </c>
      <c r="C39">
        <f t="shared" si="0"/>
        <v>340</v>
      </c>
      <c r="E39" s="5">
        <v>206.1</v>
      </c>
      <c r="F39" s="8">
        <v>1.25</v>
      </c>
      <c r="I39">
        <f t="shared" si="1"/>
        <v>340</v>
      </c>
      <c r="K39" s="5">
        <v>226.5</v>
      </c>
      <c r="L39" s="8">
        <v>1.25</v>
      </c>
      <c r="O39">
        <f t="shared" si="2"/>
        <v>340</v>
      </c>
      <c r="Q39" s="5">
        <v>292.3</v>
      </c>
      <c r="R39" s="8">
        <f t="shared" si="3"/>
        <v>1.25</v>
      </c>
      <c r="U39">
        <f t="shared" si="4"/>
        <v>340</v>
      </c>
      <c r="W39" s="5">
        <v>313.89999999999998</v>
      </c>
      <c r="X39" s="8">
        <v>1.25</v>
      </c>
      <c r="AA39">
        <f t="shared" si="5"/>
        <v>340</v>
      </c>
      <c r="AC39" s="5">
        <v>193.7</v>
      </c>
      <c r="AD39" s="8">
        <v>1.25</v>
      </c>
      <c r="AG39">
        <f t="shared" si="6"/>
        <v>340</v>
      </c>
      <c r="AI39" s="5">
        <v>303.7</v>
      </c>
      <c r="AJ39" s="8">
        <v>1.25</v>
      </c>
      <c r="AM39">
        <f t="shared" si="7"/>
        <v>340</v>
      </c>
      <c r="AO39" s="5">
        <v>256.10000000000002</v>
      </c>
      <c r="AP39" s="8">
        <v>1.25</v>
      </c>
      <c r="AS39">
        <f t="shared" si="8"/>
        <v>340</v>
      </c>
      <c r="AU39" s="5">
        <v>281.10000000000002</v>
      </c>
      <c r="AV39" s="8">
        <v>1.25</v>
      </c>
      <c r="AY39">
        <f t="shared" si="9"/>
        <v>340</v>
      </c>
      <c r="BA39" s="5">
        <v>203.1</v>
      </c>
      <c r="BB39" s="8">
        <v>1.25</v>
      </c>
    </row>
    <row r="40" spans="2:54" x14ac:dyDescent="0.3">
      <c r="B40">
        <v>-10</v>
      </c>
      <c r="C40">
        <f t="shared" si="0"/>
        <v>350</v>
      </c>
      <c r="E40" s="5">
        <v>219.3</v>
      </c>
      <c r="F40" s="8">
        <v>1.25</v>
      </c>
      <c r="I40">
        <f t="shared" si="1"/>
        <v>350</v>
      </c>
      <c r="K40" s="5">
        <v>203.8</v>
      </c>
      <c r="L40" s="8">
        <v>1.25</v>
      </c>
      <c r="O40">
        <f t="shared" si="2"/>
        <v>350</v>
      </c>
      <c r="Q40" s="5">
        <v>273</v>
      </c>
      <c r="R40" s="8">
        <f t="shared" si="3"/>
        <v>1.25</v>
      </c>
      <c r="U40">
        <f t="shared" si="4"/>
        <v>350</v>
      </c>
      <c r="W40" s="5">
        <v>310.5</v>
      </c>
      <c r="X40" s="8">
        <v>1.25</v>
      </c>
      <c r="AA40">
        <f t="shared" si="5"/>
        <v>350</v>
      </c>
      <c r="AC40" s="5">
        <v>208</v>
      </c>
      <c r="AD40" s="8">
        <v>1.25</v>
      </c>
      <c r="AG40">
        <f t="shared" si="6"/>
        <v>350</v>
      </c>
      <c r="AI40" s="5">
        <v>297.3</v>
      </c>
      <c r="AJ40" s="8">
        <v>1.25</v>
      </c>
      <c r="AM40">
        <f t="shared" si="7"/>
        <v>350</v>
      </c>
      <c r="AO40" s="5">
        <v>226.6</v>
      </c>
      <c r="AP40" s="8">
        <v>1.25</v>
      </c>
      <c r="AS40">
        <f t="shared" si="8"/>
        <v>350</v>
      </c>
      <c r="AU40" s="5">
        <v>253.5</v>
      </c>
      <c r="AV40" s="8">
        <v>1.25</v>
      </c>
      <c r="AY40">
        <f t="shared" si="9"/>
        <v>350</v>
      </c>
      <c r="BA40" s="5">
        <v>182.8</v>
      </c>
      <c r="BB40" s="8">
        <v>1.25</v>
      </c>
    </row>
    <row r="41" spans="2:54" x14ac:dyDescent="0.3">
      <c r="B41">
        <v>0</v>
      </c>
      <c r="C41">
        <f t="shared" si="0"/>
        <v>360</v>
      </c>
      <c r="E41" s="5">
        <v>226.1</v>
      </c>
      <c r="F41" s="8">
        <v>1.25</v>
      </c>
      <c r="I41">
        <f t="shared" si="1"/>
        <v>360</v>
      </c>
      <c r="K41" s="5">
        <v>180.2</v>
      </c>
      <c r="L41" s="8">
        <v>1.25</v>
      </c>
      <c r="O41">
        <f t="shared" si="2"/>
        <v>360</v>
      </c>
      <c r="Q41" s="5">
        <v>236.3</v>
      </c>
      <c r="R41" s="8">
        <f t="shared" si="3"/>
        <v>1.25</v>
      </c>
      <c r="U41">
        <f t="shared" si="4"/>
        <v>360</v>
      </c>
      <c r="W41" s="5">
        <v>288.7</v>
      </c>
      <c r="X41" s="8">
        <v>1.25</v>
      </c>
      <c r="AA41">
        <f t="shared" si="5"/>
        <v>360</v>
      </c>
      <c r="AC41" s="5">
        <v>222.7</v>
      </c>
      <c r="AD41" s="8">
        <v>1.25</v>
      </c>
      <c r="AG41">
        <f t="shared" si="6"/>
        <v>360</v>
      </c>
      <c r="AI41" s="5">
        <v>276.2</v>
      </c>
      <c r="AJ41" s="8">
        <v>1.25</v>
      </c>
      <c r="AM41">
        <f t="shared" si="7"/>
        <v>360</v>
      </c>
      <c r="AO41" s="5">
        <v>188.6</v>
      </c>
      <c r="AP41" s="8">
        <v>1.25</v>
      </c>
      <c r="AS41">
        <f t="shared" si="8"/>
        <v>360</v>
      </c>
      <c r="AU41" s="5">
        <v>211.1</v>
      </c>
      <c r="AV41" s="8">
        <v>1.25</v>
      </c>
      <c r="AY41">
        <f t="shared" si="9"/>
        <v>360</v>
      </c>
      <c r="BA41" s="5">
        <v>153.69999999999999</v>
      </c>
      <c r="BB41" s="8">
        <v>1.25</v>
      </c>
    </row>
    <row r="65" spans="71:71" x14ac:dyDescent="0.3">
      <c r="BS65">
        <v>0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Filipa Santos</dc:creator>
  <cp:lastModifiedBy>Filipa Santos</cp:lastModifiedBy>
  <dcterms:created xsi:type="dcterms:W3CDTF">2025-05-05T09:54:50Z</dcterms:created>
  <dcterms:modified xsi:type="dcterms:W3CDTF">2025-05-14T10:41:49Z</dcterms:modified>
</cp:coreProperties>
</file>