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5o ano\Tese\pol_setup_peanuts\"/>
    </mc:Choice>
  </mc:AlternateContent>
  <xr:revisionPtr revIDLastSave="0" documentId="13_ncr:1_{5B2DB12B-40C2-428F-B8E8-47FBED5CEDC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 - blank" sheetId="3" r:id="rId1"/>
    <sheet name="Sheet2 (2)" sheetId="4" r:id="rId2"/>
    <sheet name="Sheet2 (3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4" i="4" l="1"/>
  <c r="BB13" i="4"/>
  <c r="BR11" i="4"/>
  <c r="BO8" i="4"/>
  <c r="BT8" i="4" s="1"/>
  <c r="C8" i="4"/>
  <c r="BO7" i="4"/>
  <c r="BT7" i="4" s="1"/>
  <c r="BG7" i="4"/>
  <c r="BK7" i="4" s="1"/>
  <c r="AQ7" i="4"/>
  <c r="AI7" i="4"/>
  <c r="C7" i="4"/>
  <c r="BW6" i="4"/>
  <c r="CB6" i="4" s="1"/>
  <c r="BT6" i="4"/>
  <c r="BO6" i="4"/>
  <c r="BS6" i="4" s="1"/>
  <c r="BG6" i="4"/>
  <c r="BL6" i="4" s="1"/>
  <c r="BC6" i="4"/>
  <c r="AY6" i="4"/>
  <c r="AU6" i="4"/>
  <c r="AQ6" i="4"/>
  <c r="AV6" i="4" s="1"/>
  <c r="AN6" i="4"/>
  <c r="AM6" i="4"/>
  <c r="AI6" i="4"/>
  <c r="AF6" i="4"/>
  <c r="AE6" i="4"/>
  <c r="AA6" i="4"/>
  <c r="AA7" i="4" s="1"/>
  <c r="S6" i="4"/>
  <c r="K6" i="4"/>
  <c r="H6" i="4"/>
  <c r="C6" i="4"/>
  <c r="G6" i="4" s="1"/>
  <c r="CB5" i="4"/>
  <c r="CA5" i="4"/>
  <c r="BT5" i="4"/>
  <c r="BS5" i="4"/>
  <c r="BR5" i="4"/>
  <c r="BL5" i="4"/>
  <c r="BK5" i="4"/>
  <c r="BD5" i="4"/>
  <c r="BC5" i="4"/>
  <c r="AV5" i="4"/>
  <c r="AU5" i="4"/>
  <c r="AN5" i="4"/>
  <c r="AM5" i="4"/>
  <c r="AF5" i="4"/>
  <c r="AE5" i="4"/>
  <c r="AD5" i="4"/>
  <c r="X5" i="4"/>
  <c r="W5" i="4"/>
  <c r="P5" i="4"/>
  <c r="O5" i="4"/>
  <c r="N5" i="4"/>
  <c r="H5" i="4"/>
  <c r="G5" i="4"/>
  <c r="BC27" i="3"/>
  <c r="K27" i="3"/>
  <c r="K28" i="3" s="1"/>
  <c r="BL26" i="3"/>
  <c r="BG26" i="3"/>
  <c r="BK26" i="3" s="1"/>
  <c r="BD26" i="3"/>
  <c r="BC26" i="3"/>
  <c r="AY26" i="3"/>
  <c r="AY27" i="3" s="1"/>
  <c r="AQ26" i="3"/>
  <c r="AV26" i="3" s="1"/>
  <c r="AI26" i="3"/>
  <c r="AI27" i="3" s="1"/>
  <c r="AF26" i="3"/>
  <c r="AA26" i="3"/>
  <c r="AE26" i="3" s="1"/>
  <c r="X26" i="3"/>
  <c r="W26" i="3"/>
  <c r="S26" i="3"/>
  <c r="S27" i="3" s="1"/>
  <c r="K26" i="3"/>
  <c r="C26" i="3"/>
  <c r="H26" i="3" s="1"/>
  <c r="O28" i="3" l="1"/>
  <c r="P28" i="3"/>
  <c r="K29" i="3"/>
  <c r="AI28" i="3"/>
  <c r="AN27" i="3"/>
  <c r="AM27" i="3"/>
  <c r="O26" i="3"/>
  <c r="P26" i="3"/>
  <c r="AY28" i="3"/>
  <c r="BD27" i="3"/>
  <c r="O27" i="3"/>
  <c r="P27" i="3"/>
  <c r="X27" i="3"/>
  <c r="W27" i="3"/>
  <c r="S28" i="3"/>
  <c r="AM26" i="3"/>
  <c r="BG27" i="3"/>
  <c r="BK6" i="4"/>
  <c r="AN26" i="3"/>
  <c r="BS7" i="4"/>
  <c r="BG8" i="4"/>
  <c r="BL7" i="4"/>
  <c r="K7" i="4"/>
  <c r="O6" i="4"/>
  <c r="C9" i="4"/>
  <c r="G8" i="4"/>
  <c r="C27" i="3"/>
  <c r="P6" i="4"/>
  <c r="G26" i="3"/>
  <c r="X6" i="4"/>
  <c r="W6" i="4"/>
  <c r="S7" i="4"/>
  <c r="AV7" i="4"/>
  <c r="AQ8" i="4"/>
  <c r="AQ27" i="3"/>
  <c r="AI8" i="4"/>
  <c r="AN7" i="4"/>
  <c r="BO9" i="4"/>
  <c r="BS8" i="4"/>
  <c r="AU26" i="3"/>
  <c r="BW7" i="4"/>
  <c r="CA6" i="4"/>
  <c r="AM7" i="4"/>
  <c r="H8" i="4"/>
  <c r="AA27" i="3"/>
  <c r="AA8" i="4"/>
  <c r="AF7" i="4"/>
  <c r="AE7" i="4"/>
  <c r="AY7" i="4"/>
  <c r="BD6" i="4"/>
  <c r="H7" i="4"/>
  <c r="G7" i="4"/>
  <c r="AU7" i="4"/>
  <c r="AE8" i="4" l="1"/>
  <c r="AF8" i="4"/>
  <c r="AA9" i="4"/>
  <c r="BO10" i="4"/>
  <c r="BT9" i="4"/>
  <c r="BS9" i="4"/>
  <c r="S8" i="4"/>
  <c r="X7" i="4"/>
  <c r="W7" i="4"/>
  <c r="K8" i="4"/>
  <c r="P7" i="4"/>
  <c r="O7" i="4"/>
  <c r="BK8" i="4"/>
  <c r="BL8" i="4"/>
  <c r="BG9" i="4"/>
  <c r="H27" i="3"/>
  <c r="C28" i="3"/>
  <c r="G27" i="3"/>
  <c r="O29" i="3"/>
  <c r="P29" i="3"/>
  <c r="K30" i="3"/>
  <c r="W28" i="3"/>
  <c r="X28" i="3"/>
  <c r="S29" i="3"/>
  <c r="AN28" i="3"/>
  <c r="AM28" i="3"/>
  <c r="AI29" i="3"/>
  <c r="AV8" i="4"/>
  <c r="AQ9" i="4"/>
  <c r="AU8" i="4"/>
  <c r="AE27" i="3"/>
  <c r="AA28" i="3"/>
  <c r="AF27" i="3"/>
  <c r="AN8" i="4"/>
  <c r="AI9" i="4"/>
  <c r="AM8" i="4"/>
  <c r="AV27" i="3"/>
  <c r="AU27" i="3"/>
  <c r="AQ28" i="3"/>
  <c r="BD7" i="4"/>
  <c r="BC7" i="4"/>
  <c r="AY8" i="4"/>
  <c r="CB7" i="4"/>
  <c r="CA7" i="4"/>
  <c r="BW8" i="4"/>
  <c r="C10" i="4"/>
  <c r="H9" i="4"/>
  <c r="G9" i="4"/>
  <c r="BL27" i="3"/>
  <c r="BK27" i="3"/>
  <c r="BG28" i="3"/>
  <c r="AY29" i="3"/>
  <c r="BD28" i="3"/>
  <c r="BC28" i="3"/>
  <c r="BT10" i="4" l="1"/>
  <c r="BS10" i="4"/>
  <c r="BO11" i="4"/>
  <c r="AV28" i="3"/>
  <c r="AU28" i="3"/>
  <c r="AQ29" i="3"/>
  <c r="S9" i="4"/>
  <c r="X8" i="4"/>
  <c r="W8" i="4"/>
  <c r="H10" i="4"/>
  <c r="G10" i="4"/>
  <c r="C11" i="4"/>
  <c r="P30" i="3"/>
  <c r="O30" i="3"/>
  <c r="K31" i="3"/>
  <c r="AF9" i="4"/>
  <c r="AE9" i="4"/>
  <c r="AA10" i="4"/>
  <c r="X29" i="3"/>
  <c r="W29" i="3"/>
  <c r="S30" i="3"/>
  <c r="BK9" i="4"/>
  <c r="BG10" i="4"/>
  <c r="BL9" i="4"/>
  <c r="AY30" i="3"/>
  <c r="BD29" i="3"/>
  <c r="BC29" i="3"/>
  <c r="BL28" i="3"/>
  <c r="BK28" i="3"/>
  <c r="BG29" i="3"/>
  <c r="O8" i="4"/>
  <c r="K9" i="4"/>
  <c r="P8" i="4"/>
  <c r="AE28" i="3"/>
  <c r="AA29" i="3"/>
  <c r="AF28" i="3"/>
  <c r="CA8" i="4"/>
  <c r="BW9" i="4"/>
  <c r="CB8" i="4"/>
  <c r="AU9" i="4"/>
  <c r="AV9" i="4"/>
  <c r="AQ10" i="4"/>
  <c r="AN9" i="4"/>
  <c r="AI10" i="4"/>
  <c r="AM9" i="4"/>
  <c r="AN29" i="3"/>
  <c r="AM29" i="3"/>
  <c r="AI30" i="3"/>
  <c r="BD8" i="4"/>
  <c r="AY9" i="4"/>
  <c r="BC8" i="4"/>
  <c r="H28" i="3"/>
  <c r="G28" i="3"/>
  <c r="C29" i="3"/>
  <c r="AI11" i="4" l="1"/>
  <c r="AM10" i="4"/>
  <c r="AN10" i="4"/>
  <c r="H11" i="4"/>
  <c r="C12" i="4"/>
  <c r="G11" i="4"/>
  <c r="AI31" i="3"/>
  <c r="AN30" i="3"/>
  <c r="AM30" i="3"/>
  <c r="P9" i="4"/>
  <c r="O9" i="4"/>
  <c r="K10" i="4"/>
  <c r="K32" i="3"/>
  <c r="P31" i="3"/>
  <c r="O31" i="3"/>
  <c r="X9" i="4"/>
  <c r="S10" i="4"/>
  <c r="W9" i="4"/>
  <c r="H29" i="3"/>
  <c r="C30" i="3"/>
  <c r="G29" i="3"/>
  <c r="BL29" i="3"/>
  <c r="BK29" i="3"/>
  <c r="BG30" i="3"/>
  <c r="BG11" i="4"/>
  <c r="BL10" i="4"/>
  <c r="BK10" i="4"/>
  <c r="AV29" i="3"/>
  <c r="AU29" i="3"/>
  <c r="AQ30" i="3"/>
  <c r="AE29" i="3"/>
  <c r="AA30" i="3"/>
  <c r="AF29" i="3"/>
  <c r="AE10" i="4"/>
  <c r="AA11" i="4"/>
  <c r="AF10" i="4"/>
  <c r="BW10" i="4"/>
  <c r="CB9" i="4"/>
  <c r="CA9" i="4"/>
  <c r="S31" i="3"/>
  <c r="W30" i="3"/>
  <c r="X30" i="3"/>
  <c r="BS11" i="4"/>
  <c r="BO12" i="4"/>
  <c r="BT11" i="4"/>
  <c r="AY10" i="4"/>
  <c r="BC9" i="4"/>
  <c r="BD9" i="4"/>
  <c r="AU10" i="4"/>
  <c r="AQ11" i="4"/>
  <c r="AV10" i="4"/>
  <c r="BD30" i="3"/>
  <c r="AY31" i="3"/>
  <c r="BC30" i="3"/>
  <c r="AE30" i="3" l="1"/>
  <c r="AA31" i="3"/>
  <c r="AF30" i="3"/>
  <c r="AY11" i="4"/>
  <c r="BC10" i="4"/>
  <c r="BD10" i="4"/>
  <c r="BW11" i="4"/>
  <c r="CB10" i="4"/>
  <c r="CA10" i="4"/>
  <c r="H30" i="3"/>
  <c r="G30" i="3"/>
  <c r="C31" i="3"/>
  <c r="P10" i="4"/>
  <c r="K11" i="4"/>
  <c r="O10" i="4"/>
  <c r="BL30" i="3"/>
  <c r="BK30" i="3"/>
  <c r="BG31" i="3"/>
  <c r="BC31" i="3"/>
  <c r="AY32" i="3"/>
  <c r="BD31" i="3"/>
  <c r="K33" i="3"/>
  <c r="P32" i="3"/>
  <c r="O32" i="3"/>
  <c r="X31" i="3"/>
  <c r="W31" i="3"/>
  <c r="S32" i="3"/>
  <c r="AN31" i="3"/>
  <c r="AM31" i="3"/>
  <c r="AI32" i="3"/>
  <c r="AQ31" i="3"/>
  <c r="AU30" i="3"/>
  <c r="AV30" i="3"/>
  <c r="C13" i="4"/>
  <c r="H12" i="4"/>
  <c r="G12" i="4"/>
  <c r="BO13" i="4"/>
  <c r="BT12" i="4"/>
  <c r="BS12" i="4"/>
  <c r="AE11" i="4"/>
  <c r="AA12" i="4"/>
  <c r="AF11" i="4"/>
  <c r="AQ12" i="4"/>
  <c r="AV11" i="4"/>
  <c r="AU11" i="4"/>
  <c r="BG12" i="4"/>
  <c r="BL11" i="4"/>
  <c r="BK11" i="4"/>
  <c r="X10" i="4"/>
  <c r="S11" i="4"/>
  <c r="W10" i="4"/>
  <c r="AN11" i="4"/>
  <c r="AI12" i="4"/>
  <c r="AM11" i="4"/>
  <c r="BG13" i="4" l="1"/>
  <c r="BK12" i="4"/>
  <c r="BL12" i="4"/>
  <c r="K34" i="3"/>
  <c r="P33" i="3"/>
  <c r="O33" i="3"/>
  <c r="AM12" i="4"/>
  <c r="AI13" i="4"/>
  <c r="AN12" i="4"/>
  <c r="BD11" i="4"/>
  <c r="BC11" i="4"/>
  <c r="AY12" i="4"/>
  <c r="AU31" i="3"/>
  <c r="AQ32" i="3"/>
  <c r="AV31" i="3"/>
  <c r="BW12" i="4"/>
  <c r="CB11" i="4"/>
  <c r="CA11" i="4"/>
  <c r="C32" i="3"/>
  <c r="H31" i="3"/>
  <c r="G31" i="3"/>
  <c r="AQ13" i="4"/>
  <c r="AU12" i="4"/>
  <c r="AV12" i="4"/>
  <c r="X32" i="3"/>
  <c r="W32" i="3"/>
  <c r="S33" i="3"/>
  <c r="AN32" i="3"/>
  <c r="AI33" i="3"/>
  <c r="AM32" i="3"/>
  <c r="BO14" i="4"/>
  <c r="BS13" i="4"/>
  <c r="BT13" i="4"/>
  <c r="BC32" i="3"/>
  <c r="BD32" i="3"/>
  <c r="AY33" i="3"/>
  <c r="W11" i="4"/>
  <c r="X11" i="4"/>
  <c r="S12" i="4"/>
  <c r="C14" i="4"/>
  <c r="H13" i="4"/>
  <c r="G13" i="4"/>
  <c r="BL31" i="3"/>
  <c r="BK31" i="3"/>
  <c r="BG32" i="3"/>
  <c r="AF31" i="3"/>
  <c r="AA32" i="3"/>
  <c r="AE31" i="3"/>
  <c r="O11" i="4"/>
  <c r="K12" i="4"/>
  <c r="P11" i="4"/>
  <c r="AF12" i="4"/>
  <c r="AA13" i="4"/>
  <c r="AE12" i="4"/>
  <c r="AV13" i="4" l="1"/>
  <c r="AQ14" i="4"/>
  <c r="AU13" i="4"/>
  <c r="CB12" i="4"/>
  <c r="CA12" i="4"/>
  <c r="BW13" i="4"/>
  <c r="AN33" i="3"/>
  <c r="AM33" i="3"/>
  <c r="AI34" i="3"/>
  <c r="X12" i="4"/>
  <c r="W12" i="4"/>
  <c r="S13" i="4"/>
  <c r="BC33" i="3"/>
  <c r="AY34" i="3"/>
  <c r="BD33" i="3"/>
  <c r="BC12" i="4"/>
  <c r="AY13" i="4"/>
  <c r="BD12" i="4"/>
  <c r="K35" i="3"/>
  <c r="O34" i="3"/>
  <c r="P34" i="3"/>
  <c r="AM13" i="4"/>
  <c r="AI14" i="4"/>
  <c r="AN13" i="4"/>
  <c r="BL32" i="3"/>
  <c r="BK32" i="3"/>
  <c r="BG33" i="3"/>
  <c r="X33" i="3"/>
  <c r="W33" i="3"/>
  <c r="S34" i="3"/>
  <c r="C33" i="3"/>
  <c r="H32" i="3"/>
  <c r="G32" i="3"/>
  <c r="P12" i="4"/>
  <c r="O12" i="4"/>
  <c r="K13" i="4"/>
  <c r="C15" i="4"/>
  <c r="H14" i="4"/>
  <c r="G14" i="4"/>
  <c r="AF32" i="3"/>
  <c r="AE32" i="3"/>
  <c r="AA33" i="3"/>
  <c r="BO15" i="4"/>
  <c r="BS14" i="4"/>
  <c r="BT14" i="4"/>
  <c r="AU32" i="3"/>
  <c r="AQ33" i="3"/>
  <c r="AV32" i="3"/>
  <c r="AE13" i="4"/>
  <c r="AF13" i="4"/>
  <c r="AA14" i="4"/>
  <c r="BK13" i="4"/>
  <c r="BL13" i="4"/>
  <c r="BG14" i="4"/>
  <c r="C34" i="3" l="1"/>
  <c r="G33" i="3"/>
  <c r="H33" i="3"/>
  <c r="BC34" i="3"/>
  <c r="BD34" i="3"/>
  <c r="AY35" i="3"/>
  <c r="CA13" i="4"/>
  <c r="BW14" i="4"/>
  <c r="CB13" i="4"/>
  <c r="H15" i="4"/>
  <c r="G15" i="4"/>
  <c r="C16" i="4"/>
  <c r="AN14" i="4"/>
  <c r="AI15" i="4"/>
  <c r="AM14" i="4"/>
  <c r="K36" i="3"/>
  <c r="P35" i="3"/>
  <c r="O35" i="3"/>
  <c r="AU33" i="3"/>
  <c r="AQ34" i="3"/>
  <c r="AV33" i="3"/>
  <c r="BK14" i="4"/>
  <c r="BG15" i="4"/>
  <c r="BL14" i="4"/>
  <c r="P13" i="4"/>
  <c r="K14" i="4"/>
  <c r="O13" i="4"/>
  <c r="W13" i="4"/>
  <c r="S14" i="4"/>
  <c r="X13" i="4"/>
  <c r="AF14" i="4"/>
  <c r="AA15" i="4"/>
  <c r="AE14" i="4"/>
  <c r="X34" i="3"/>
  <c r="W34" i="3"/>
  <c r="S35" i="3"/>
  <c r="BT15" i="4"/>
  <c r="BO16" i="4"/>
  <c r="BS15" i="4"/>
  <c r="BL33" i="3"/>
  <c r="BK33" i="3"/>
  <c r="BG34" i="3"/>
  <c r="AF33" i="3"/>
  <c r="AA34" i="3"/>
  <c r="AE33" i="3"/>
  <c r="AU14" i="4"/>
  <c r="AQ15" i="4"/>
  <c r="AV14" i="4"/>
  <c r="BD13" i="4"/>
  <c r="AY14" i="4"/>
  <c r="BC13" i="4"/>
  <c r="AN34" i="3"/>
  <c r="AI35" i="3"/>
  <c r="AM34" i="3"/>
  <c r="K37" i="3" l="1"/>
  <c r="P36" i="3"/>
  <c r="O36" i="3"/>
  <c r="BW15" i="4"/>
  <c r="CB14" i="4"/>
  <c r="CA14" i="4"/>
  <c r="AE15" i="4"/>
  <c r="AA16" i="4"/>
  <c r="AF15" i="4"/>
  <c r="BT16" i="4"/>
  <c r="BO17" i="4"/>
  <c r="BS16" i="4"/>
  <c r="AN35" i="3"/>
  <c r="AM35" i="3"/>
  <c r="AI36" i="3"/>
  <c r="AI16" i="4"/>
  <c r="AM15" i="4"/>
  <c r="AN15" i="4"/>
  <c r="BC35" i="3"/>
  <c r="AY36" i="3"/>
  <c r="BD35" i="3"/>
  <c r="X14" i="4"/>
  <c r="W14" i="4"/>
  <c r="S15" i="4"/>
  <c r="AF34" i="3"/>
  <c r="AE34" i="3"/>
  <c r="AA35" i="3"/>
  <c r="X35" i="3"/>
  <c r="W35" i="3"/>
  <c r="S36" i="3"/>
  <c r="AU34" i="3"/>
  <c r="AQ35" i="3"/>
  <c r="AV34" i="3"/>
  <c r="H16" i="4"/>
  <c r="C17" i="4"/>
  <c r="G16" i="4"/>
  <c r="AU15" i="4"/>
  <c r="AQ16" i="4"/>
  <c r="AV15" i="4"/>
  <c r="BG16" i="4"/>
  <c r="BL15" i="4"/>
  <c r="BK15" i="4"/>
  <c r="AY15" i="4"/>
  <c r="BC14" i="4"/>
  <c r="BD14" i="4"/>
  <c r="BL34" i="3"/>
  <c r="BK34" i="3"/>
  <c r="BG35" i="3"/>
  <c r="K15" i="4"/>
  <c r="P14" i="4"/>
  <c r="O14" i="4"/>
  <c r="C35" i="3"/>
  <c r="H34" i="3"/>
  <c r="G34" i="3"/>
  <c r="X15" i="4" l="1"/>
  <c r="W15" i="4"/>
  <c r="S16" i="4"/>
  <c r="AN36" i="3"/>
  <c r="AI37" i="3"/>
  <c r="AM36" i="3"/>
  <c r="AU35" i="3"/>
  <c r="AQ36" i="3"/>
  <c r="AV35" i="3"/>
  <c r="AE16" i="4"/>
  <c r="AA17" i="4"/>
  <c r="AF16" i="4"/>
  <c r="AU16" i="4"/>
  <c r="AQ17" i="4"/>
  <c r="AV16" i="4"/>
  <c r="C36" i="3"/>
  <c r="G35" i="3"/>
  <c r="H35" i="3"/>
  <c r="BC36" i="3"/>
  <c r="BD36" i="3"/>
  <c r="AY37" i="3"/>
  <c r="CB15" i="4"/>
  <c r="CA15" i="4"/>
  <c r="BW16" i="4"/>
  <c r="BL35" i="3"/>
  <c r="BK35" i="3"/>
  <c r="BG36" i="3"/>
  <c r="BL16" i="4"/>
  <c r="BK16" i="4"/>
  <c r="BG17" i="4"/>
  <c r="AI17" i="4"/>
  <c r="AN16" i="4"/>
  <c r="AM16" i="4"/>
  <c r="X36" i="3"/>
  <c r="W36" i="3"/>
  <c r="S37" i="3"/>
  <c r="C18" i="4"/>
  <c r="G17" i="4"/>
  <c r="H17" i="4"/>
  <c r="AF35" i="3"/>
  <c r="AA36" i="3"/>
  <c r="AE35" i="3"/>
  <c r="BO18" i="4"/>
  <c r="BS17" i="4"/>
  <c r="BT17" i="4"/>
  <c r="AY16" i="4"/>
  <c r="BD15" i="4"/>
  <c r="BC15" i="4"/>
  <c r="P15" i="4"/>
  <c r="K16" i="4"/>
  <c r="O15" i="4"/>
  <c r="K38" i="3"/>
  <c r="P37" i="3"/>
  <c r="O37" i="3"/>
  <c r="O16" i="4" l="1"/>
  <c r="K17" i="4"/>
  <c r="P16" i="4"/>
  <c r="AF36" i="3"/>
  <c r="AE36" i="3"/>
  <c r="AA37" i="3"/>
  <c r="CA16" i="4"/>
  <c r="CB16" i="4"/>
  <c r="BW17" i="4"/>
  <c r="C37" i="3"/>
  <c r="H36" i="3"/>
  <c r="G36" i="3"/>
  <c r="AU36" i="3"/>
  <c r="AQ37" i="3"/>
  <c r="AV36" i="3"/>
  <c r="AN17" i="4"/>
  <c r="AI18" i="4"/>
  <c r="AM17" i="4"/>
  <c r="BD16" i="4"/>
  <c r="AY17" i="4"/>
  <c r="BC16" i="4"/>
  <c r="BK17" i="4"/>
  <c r="BG18" i="4"/>
  <c r="BL17" i="4"/>
  <c r="AV17" i="4"/>
  <c r="AQ18" i="4"/>
  <c r="AU17" i="4"/>
  <c r="C19" i="4"/>
  <c r="H18" i="4"/>
  <c r="G18" i="4"/>
  <c r="BC37" i="3"/>
  <c r="AY38" i="3"/>
  <c r="BD37" i="3"/>
  <c r="AN37" i="3"/>
  <c r="AM37" i="3"/>
  <c r="AI38" i="3"/>
  <c r="K39" i="3"/>
  <c r="P38" i="3"/>
  <c r="O38" i="3"/>
  <c r="X37" i="3"/>
  <c r="W37" i="3"/>
  <c r="S38" i="3"/>
  <c r="BO19" i="4"/>
  <c r="BT18" i="4"/>
  <c r="BS18" i="4"/>
  <c r="BL36" i="3"/>
  <c r="BK36" i="3"/>
  <c r="BG37" i="3"/>
  <c r="AF17" i="4"/>
  <c r="AE17" i="4"/>
  <c r="AA18" i="4"/>
  <c r="S17" i="4"/>
  <c r="W16" i="4"/>
  <c r="X16" i="4"/>
  <c r="BC38" i="3" l="1"/>
  <c r="BD38" i="3"/>
  <c r="AY39" i="3"/>
  <c r="K40" i="3"/>
  <c r="P39" i="3"/>
  <c r="O39" i="3"/>
  <c r="BK18" i="4"/>
  <c r="BG19" i="4"/>
  <c r="BL18" i="4"/>
  <c r="AF37" i="3"/>
  <c r="AA38" i="3"/>
  <c r="AE37" i="3"/>
  <c r="BL37" i="3"/>
  <c r="BK37" i="3"/>
  <c r="BG38" i="3"/>
  <c r="AU37" i="3"/>
  <c r="AQ38" i="3"/>
  <c r="AV37" i="3"/>
  <c r="S18" i="4"/>
  <c r="W17" i="4"/>
  <c r="X17" i="4"/>
  <c r="AN38" i="3"/>
  <c r="AI39" i="3"/>
  <c r="AM38" i="3"/>
  <c r="H19" i="4"/>
  <c r="G19" i="4"/>
  <c r="C20" i="4"/>
  <c r="BD17" i="4"/>
  <c r="BC17" i="4"/>
  <c r="AY18" i="4"/>
  <c r="AF18" i="4"/>
  <c r="AA19" i="4"/>
  <c r="AE18" i="4"/>
  <c r="BT19" i="4"/>
  <c r="BO20" i="4"/>
  <c r="BS19" i="4"/>
  <c r="X38" i="3"/>
  <c r="W38" i="3"/>
  <c r="S39" i="3"/>
  <c r="AU18" i="4"/>
  <c r="AQ19" i="4"/>
  <c r="AV18" i="4"/>
  <c r="C38" i="3"/>
  <c r="G37" i="3"/>
  <c r="H37" i="3"/>
  <c r="O17" i="4"/>
  <c r="K18" i="4"/>
  <c r="P17" i="4"/>
  <c r="AN18" i="4"/>
  <c r="AM18" i="4"/>
  <c r="AI19" i="4"/>
  <c r="CA17" i="4"/>
  <c r="BW18" i="4"/>
  <c r="CB17" i="4"/>
  <c r="BG20" i="4" l="1"/>
  <c r="BL19" i="4"/>
  <c r="BK19" i="4"/>
  <c r="K19" i="4"/>
  <c r="P18" i="4"/>
  <c r="O18" i="4"/>
  <c r="AY19" i="4"/>
  <c r="BC18" i="4"/>
  <c r="BD18" i="4"/>
  <c r="K41" i="3"/>
  <c r="O40" i="3"/>
  <c r="P40" i="3"/>
  <c r="X39" i="3"/>
  <c r="W39" i="3"/>
  <c r="S40" i="3"/>
  <c r="CA18" i="4"/>
  <c r="BW19" i="4"/>
  <c r="CB18" i="4"/>
  <c r="X18" i="4"/>
  <c r="W18" i="4"/>
  <c r="S19" i="4"/>
  <c r="AF38" i="3"/>
  <c r="AE38" i="3"/>
  <c r="AA39" i="3"/>
  <c r="BC39" i="3"/>
  <c r="AY40" i="3"/>
  <c r="BD39" i="3"/>
  <c r="AE19" i="4"/>
  <c r="AF19" i="4"/>
  <c r="AA20" i="4"/>
  <c r="BL38" i="3"/>
  <c r="BK38" i="3"/>
  <c r="BG39" i="3"/>
  <c r="AI20" i="4"/>
  <c r="AM19" i="4"/>
  <c r="AN19" i="4"/>
  <c r="BT20" i="4"/>
  <c r="BS20" i="4"/>
  <c r="BO21" i="4"/>
  <c r="AN39" i="3"/>
  <c r="AM39" i="3"/>
  <c r="AI40" i="3"/>
  <c r="C39" i="3"/>
  <c r="H38" i="3"/>
  <c r="G38" i="3"/>
  <c r="H20" i="4"/>
  <c r="C21" i="4"/>
  <c r="G20" i="4"/>
  <c r="AU19" i="4"/>
  <c r="AQ20" i="4"/>
  <c r="AV19" i="4"/>
  <c r="AU38" i="3"/>
  <c r="AQ39" i="3"/>
  <c r="AV38" i="3"/>
  <c r="AU39" i="3" l="1"/>
  <c r="AQ40" i="3"/>
  <c r="AV39" i="3"/>
  <c r="P19" i="4"/>
  <c r="K20" i="4"/>
  <c r="O19" i="4"/>
  <c r="BO22" i="4"/>
  <c r="BT21" i="4"/>
  <c r="BS21" i="4"/>
  <c r="X40" i="3"/>
  <c r="W40" i="3"/>
  <c r="S41" i="3"/>
  <c r="AF39" i="3"/>
  <c r="AA40" i="3"/>
  <c r="AE39" i="3"/>
  <c r="C22" i="4"/>
  <c r="H21" i="4"/>
  <c r="G21" i="4"/>
  <c r="X19" i="4"/>
  <c r="S20" i="4"/>
  <c r="W19" i="4"/>
  <c r="C40" i="3"/>
  <c r="G39" i="3"/>
  <c r="H39" i="3"/>
  <c r="AN40" i="3"/>
  <c r="AI41" i="3"/>
  <c r="AM40" i="3"/>
  <c r="P41" i="3"/>
  <c r="O41" i="3"/>
  <c r="AY20" i="4"/>
  <c r="BD19" i="4"/>
  <c r="BC19" i="4"/>
  <c r="AE20" i="4"/>
  <c r="AA21" i="4"/>
  <c r="AF20" i="4"/>
  <c r="AU20" i="4"/>
  <c r="AV20" i="4"/>
  <c r="AQ21" i="4"/>
  <c r="AI21" i="4"/>
  <c r="AN20" i="4"/>
  <c r="AM20" i="4"/>
  <c r="BC40" i="3"/>
  <c r="BD40" i="3"/>
  <c r="AY41" i="3"/>
  <c r="BL39" i="3"/>
  <c r="BK39" i="3"/>
  <c r="BG40" i="3"/>
  <c r="CB19" i="4"/>
  <c r="BW20" i="4"/>
  <c r="CA19" i="4"/>
  <c r="BL20" i="4"/>
  <c r="BG21" i="4"/>
  <c r="BK20" i="4"/>
  <c r="AF40" i="3" l="1"/>
  <c r="AA41" i="3"/>
  <c r="AE40" i="3"/>
  <c r="O20" i="4"/>
  <c r="P20" i="4"/>
  <c r="K21" i="4"/>
  <c r="BK21" i="4"/>
  <c r="BL21" i="4"/>
  <c r="BG22" i="4"/>
  <c r="BC41" i="3"/>
  <c r="BD41" i="3"/>
  <c r="S21" i="4"/>
  <c r="W20" i="4"/>
  <c r="X20" i="4"/>
  <c r="X41" i="3"/>
  <c r="W41" i="3"/>
  <c r="C23" i="4"/>
  <c r="H22" i="4"/>
  <c r="G22" i="4"/>
  <c r="BD20" i="4"/>
  <c r="AY21" i="4"/>
  <c r="BC20" i="4"/>
  <c r="AN21" i="4"/>
  <c r="AI22" i="4"/>
  <c r="AM21" i="4"/>
  <c r="C41" i="3"/>
  <c r="H40" i="3"/>
  <c r="G40" i="3"/>
  <c r="AE21" i="4"/>
  <c r="AA22" i="4"/>
  <c r="AF21" i="4"/>
  <c r="AN41" i="3"/>
  <c r="AM41" i="3"/>
  <c r="AU40" i="3"/>
  <c r="AQ41" i="3"/>
  <c r="AV40" i="3"/>
  <c r="BL40" i="3"/>
  <c r="BK40" i="3"/>
  <c r="BG41" i="3"/>
  <c r="BO23" i="4"/>
  <c r="BS22" i="4"/>
  <c r="BT22" i="4"/>
  <c r="AV21" i="4"/>
  <c r="AQ22" i="4"/>
  <c r="AU21" i="4"/>
  <c r="CA20" i="4"/>
  <c r="BW21" i="4"/>
  <c r="CB20" i="4"/>
  <c r="BT23" i="4" l="1"/>
  <c r="BO24" i="4"/>
  <c r="BS23" i="4"/>
  <c r="AN22" i="4"/>
  <c r="AI23" i="4"/>
  <c r="AM22" i="4"/>
  <c r="S22" i="4"/>
  <c r="W21" i="4"/>
  <c r="X21" i="4"/>
  <c r="BL41" i="3"/>
  <c r="BK41" i="3"/>
  <c r="O21" i="4"/>
  <c r="K22" i="4"/>
  <c r="P21" i="4"/>
  <c r="AU22" i="4"/>
  <c r="AV22" i="4"/>
  <c r="AQ23" i="4"/>
  <c r="CA21" i="4"/>
  <c r="BW22" i="4"/>
  <c r="CB21" i="4"/>
  <c r="AF22" i="4"/>
  <c r="AA23" i="4"/>
  <c r="AE22" i="4"/>
  <c r="BD21" i="4"/>
  <c r="BC21" i="4"/>
  <c r="AY22" i="4"/>
  <c r="AF41" i="3"/>
  <c r="AE41" i="3"/>
  <c r="AU41" i="3"/>
  <c r="AV41" i="3"/>
  <c r="G41" i="3"/>
  <c r="H41" i="3"/>
  <c r="H23" i="4"/>
  <c r="C24" i="4"/>
  <c r="G23" i="4"/>
  <c r="BK22" i="4"/>
  <c r="BG23" i="4"/>
  <c r="BL22" i="4"/>
  <c r="BK23" i="4" l="1"/>
  <c r="BL23" i="4"/>
  <c r="BG24" i="4"/>
  <c r="O22" i="4"/>
  <c r="P22" i="4"/>
  <c r="K23" i="4"/>
  <c r="AI24" i="4"/>
  <c r="AN23" i="4"/>
  <c r="AM23" i="4"/>
  <c r="X22" i="4"/>
  <c r="S23" i="4"/>
  <c r="W22" i="4"/>
  <c r="AE23" i="4"/>
  <c r="AF23" i="4"/>
  <c r="AA24" i="4"/>
  <c r="CA22" i="4"/>
  <c r="BW23" i="4"/>
  <c r="CB22" i="4"/>
  <c r="H24" i="4"/>
  <c r="C25" i="4"/>
  <c r="G24" i="4"/>
  <c r="AY23" i="4"/>
  <c r="BD22" i="4"/>
  <c r="BC22" i="4"/>
  <c r="BT24" i="4"/>
  <c r="BO25" i="4"/>
  <c r="BS24" i="4"/>
  <c r="AU23" i="4"/>
  <c r="AQ24" i="4"/>
  <c r="AV23" i="4"/>
  <c r="AE24" i="4" l="1"/>
  <c r="AA25" i="4"/>
  <c r="AF24" i="4"/>
  <c r="AI25" i="4"/>
  <c r="AM24" i="4"/>
  <c r="AN24" i="4"/>
  <c r="AY24" i="4"/>
  <c r="BD23" i="4"/>
  <c r="BC23" i="4"/>
  <c r="P23" i="4"/>
  <c r="K24" i="4"/>
  <c r="O23" i="4"/>
  <c r="AU24" i="4"/>
  <c r="AQ25" i="4"/>
  <c r="AV24" i="4"/>
  <c r="G25" i="4"/>
  <c r="H25" i="4"/>
  <c r="C26" i="4"/>
  <c r="X23" i="4"/>
  <c r="W23" i="4"/>
  <c r="S24" i="4"/>
  <c r="BG25" i="4"/>
  <c r="BL24" i="4"/>
  <c r="BK24" i="4"/>
  <c r="BS25" i="4"/>
  <c r="BT25" i="4"/>
  <c r="BO26" i="4"/>
  <c r="CB23" i="4"/>
  <c r="BW24" i="4"/>
  <c r="CA23" i="4"/>
  <c r="X24" i="4" l="1"/>
  <c r="W24" i="4"/>
  <c r="S25" i="4"/>
  <c r="AM25" i="4"/>
  <c r="AI26" i="4"/>
  <c r="AN25" i="4"/>
  <c r="BD24" i="4"/>
  <c r="AY25" i="4"/>
  <c r="BC24" i="4"/>
  <c r="AQ26" i="4"/>
  <c r="AV25" i="4"/>
  <c r="AU25" i="4"/>
  <c r="BW25" i="4"/>
  <c r="CA24" i="4"/>
  <c r="CB24" i="4"/>
  <c r="BT26" i="4"/>
  <c r="BS26" i="4"/>
  <c r="BO27" i="4"/>
  <c r="H26" i="4"/>
  <c r="C27" i="4"/>
  <c r="G26" i="4"/>
  <c r="AF25" i="4"/>
  <c r="AE25" i="4"/>
  <c r="AA26" i="4"/>
  <c r="BG26" i="4"/>
  <c r="BL25" i="4"/>
  <c r="BK25" i="4"/>
  <c r="O24" i="4"/>
  <c r="K25" i="4"/>
  <c r="P24" i="4"/>
  <c r="AA27" i="4" l="1"/>
  <c r="AF26" i="4"/>
  <c r="AE26" i="4"/>
  <c r="BS27" i="4"/>
  <c r="BO28" i="4"/>
  <c r="BT27" i="4"/>
  <c r="AQ27" i="4"/>
  <c r="AV26" i="4"/>
  <c r="AU26" i="4"/>
  <c r="BC25" i="4"/>
  <c r="AY26" i="4"/>
  <c r="BD25" i="4"/>
  <c r="P25" i="4"/>
  <c r="K26" i="4"/>
  <c r="O25" i="4"/>
  <c r="CB25" i="4"/>
  <c r="BW26" i="4"/>
  <c r="CA25" i="4"/>
  <c r="AM26" i="4"/>
  <c r="AI27" i="4"/>
  <c r="AN26" i="4"/>
  <c r="G27" i="4"/>
  <c r="C28" i="4"/>
  <c r="H27" i="4"/>
  <c r="X25" i="4"/>
  <c r="W25" i="4"/>
  <c r="S26" i="4"/>
  <c r="BL26" i="4"/>
  <c r="BG27" i="4"/>
  <c r="BK26" i="4"/>
  <c r="BL27" i="4" l="1"/>
  <c r="BK27" i="4"/>
  <c r="BG28" i="4"/>
  <c r="BS28" i="4"/>
  <c r="BO29" i="4"/>
  <c r="BT28" i="4"/>
  <c r="AV27" i="4"/>
  <c r="AQ28" i="4"/>
  <c r="AU27" i="4"/>
  <c r="P26" i="4"/>
  <c r="O26" i="4"/>
  <c r="K27" i="4"/>
  <c r="AM27" i="4"/>
  <c r="AN27" i="4"/>
  <c r="AI28" i="4"/>
  <c r="BC26" i="4"/>
  <c r="BD26" i="4"/>
  <c r="AY27" i="4"/>
  <c r="G28" i="4"/>
  <c r="C29" i="4"/>
  <c r="H28" i="4"/>
  <c r="W26" i="4"/>
  <c r="S27" i="4"/>
  <c r="X26" i="4"/>
  <c r="CB26" i="4"/>
  <c r="CA26" i="4"/>
  <c r="BW27" i="4"/>
  <c r="AA28" i="4"/>
  <c r="AF27" i="4"/>
  <c r="AE27" i="4"/>
  <c r="BT29" i="4" l="1"/>
  <c r="BS29" i="4"/>
  <c r="AF28" i="4"/>
  <c r="AA29" i="4"/>
  <c r="AE28" i="4"/>
  <c r="AV28" i="4"/>
  <c r="AU28" i="4"/>
  <c r="AQ29" i="4"/>
  <c r="AN28" i="4"/>
  <c r="AM28" i="4"/>
  <c r="AI29" i="4"/>
  <c r="K28" i="4"/>
  <c r="P27" i="4"/>
  <c r="O27" i="4"/>
  <c r="BG29" i="4"/>
  <c r="BL28" i="4"/>
  <c r="BK28" i="4"/>
  <c r="BD27" i="4"/>
  <c r="AY28" i="4"/>
  <c r="BC27" i="4"/>
  <c r="W27" i="4"/>
  <c r="S28" i="4"/>
  <c r="X27" i="4"/>
  <c r="G29" i="4"/>
  <c r="H29" i="4"/>
  <c r="BW28" i="4"/>
  <c r="CB27" i="4"/>
  <c r="CA27" i="4"/>
  <c r="AF29" i="4" l="1"/>
  <c r="AE29" i="4"/>
  <c r="AV29" i="4"/>
  <c r="AU29" i="4"/>
  <c r="BL29" i="4"/>
  <c r="BK29" i="4"/>
  <c r="K29" i="4"/>
  <c r="P28" i="4"/>
  <c r="O28" i="4"/>
  <c r="BC28" i="4"/>
  <c r="AY29" i="4"/>
  <c r="BD28" i="4"/>
  <c r="BW29" i="4"/>
  <c r="CB28" i="4"/>
  <c r="CA28" i="4"/>
  <c r="W28" i="4"/>
  <c r="X28" i="4"/>
  <c r="S29" i="4"/>
  <c r="AM29" i="4"/>
  <c r="AN29" i="4"/>
  <c r="P29" i="4" l="1"/>
  <c r="O29" i="4"/>
  <c r="CB29" i="4"/>
  <c r="CA29" i="4"/>
  <c r="BC29" i="4"/>
  <c r="BD29" i="4"/>
  <c r="X29" i="4"/>
  <c r="W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Filipa Santos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D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F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14,07-10,80= 3,23=&gt; 3,25 mV -&gt; ESCALA DIFERENTE 
a 0º valor varia de 225,8 a 228,5 =&gt; ~2,7 mV de incerteza </t>
        </r>
      </text>
    </comment>
    <comment ref="J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L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N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R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T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V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Z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B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D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H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J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L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P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R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T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X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Z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B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F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H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J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Filipa Santos</author>
  </authors>
  <commentList>
    <comment ref="B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D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F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14,07-10,80= 3,23=&gt; 3,25 mV -&gt; ESCALA DIFERENTE 
a 0º valor varia de 225,8 a 228,5 =&gt; ~2,7 mV de incerteza </t>
        </r>
      </text>
    </comment>
    <comment ref="J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L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N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R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T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V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Z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B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D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H5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J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L5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P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R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T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X5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Z5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B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F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H5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J5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N5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P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R5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V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X5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Z5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Filipa Santos</author>
  </authors>
  <commentList>
    <comment ref="B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D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F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14,07-10,80= 3,23=&gt; 3,25 mV -&gt; DIFFERENT SCALE @ 0º value varies from 225,8 to 228,5 =&gt; ~2,7 mV 
uncertainty = 0.5*that difference -&gt; applied in the code
</t>
        </r>
      </text>
    </comment>
    <comment ref="J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L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N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R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T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V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Z5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B5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D5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H5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J5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L5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P5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R5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T5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AX5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AZ5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B5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F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H5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J5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N5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P5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R5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  <comment ref="BV5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X5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analog scale = 1º
=&gt; uncertainty = 1/2 * 1º = 0.5ª</t>
        </r>
      </text>
    </comment>
    <comment ref="BZ5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Filipa Santos:</t>
        </r>
        <r>
          <rPr>
            <sz val="9"/>
            <color indexed="81"/>
            <rFont val="Tahoma"/>
            <family val="2"/>
          </rPr>
          <t xml:space="preserve">
Smallest division of the digital scale = 0.01 mV
=&gt; uncertainty = 0.01 mV
But the values oscillate a bit -&gt; around 14,07-11,80= 2,23=&gt; 2,25 mV</t>
        </r>
      </text>
    </comment>
  </commentList>
</comments>
</file>

<file path=xl/sharedStrings.xml><?xml version="1.0" encoding="utf-8"?>
<sst xmlns="http://schemas.openxmlformats.org/spreadsheetml/2006/main" count="180" uniqueCount="26">
  <si>
    <t>Peanuts experiment recreation</t>
  </si>
  <si>
    <t>θ (º)</t>
  </si>
  <si>
    <t>δθ (º)</t>
  </si>
  <si>
    <t>I (mV)</t>
  </si>
  <si>
    <t>δI (mV)</t>
  </si>
  <si>
    <t>α (º)</t>
  </si>
  <si>
    <t>δα (º)</t>
  </si>
  <si>
    <t>90+30</t>
  </si>
  <si>
    <t>90+60</t>
  </si>
  <si>
    <t>90+90</t>
  </si>
  <si>
    <t>180+30</t>
  </si>
  <si>
    <t>180+40</t>
  </si>
  <si>
    <t>180+50</t>
  </si>
  <si>
    <t>180+60</t>
  </si>
  <si>
    <t>180+70</t>
  </si>
  <si>
    <t>180+80</t>
  </si>
  <si>
    <t>I*cos(α)</t>
  </si>
  <si>
    <t>I*sin(α)</t>
  </si>
  <si>
    <t>90+15</t>
  </si>
  <si>
    <t>90+45</t>
  </si>
  <si>
    <t>90+75</t>
  </si>
  <si>
    <t>180+15</t>
  </si>
  <si>
    <t>180+45</t>
  </si>
  <si>
    <t>180+75</t>
  </si>
  <si>
    <t>180+90</t>
  </si>
  <si>
    <t>2δI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</si>
</sst>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0"/>
      <color rgb="FF040C2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58800012207406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2" fontId="0" fillId="0" borderId="0" xfId="0" applyNumberFormat="1"/>
    <xf numFmtId="0" fontId="0" fillId="0" borderId="2" xfId="0" applyBorder="1"/>
    <xf numFmtId="0" fontId="1" fillId="3" borderId="3" xfId="0" applyFont="1" applyFill="1" applyBorder="1"/>
    <xf numFmtId="0" fontId="1" fillId="3" borderId="1" xfId="0" applyFont="1" applyFill="1" applyBorder="1"/>
    <xf numFmtId="165" fontId="0" fillId="2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165" fontId="0" fillId="0" borderId="0" xfId="0" applyNumberFormat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blank'!$E$4</c:f>
              <c:strCache>
                <c:ptCount val="1"/>
                <c:pt idx="0">
                  <c:v>77,48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blank'!$C$5:$C$41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blank'!$E$5:$E$41</c:f>
              <c:numCache>
                <c:formatCode>0.0</c:formatCode>
                <c:ptCount val="37"/>
                <c:pt idx="0">
                  <c:v>38.090000000000003</c:v>
                </c:pt>
                <c:pt idx="1">
                  <c:v>2.17</c:v>
                </c:pt>
                <c:pt idx="2">
                  <c:v>0.378</c:v>
                </c:pt>
                <c:pt idx="3">
                  <c:v>11.19</c:v>
                </c:pt>
                <c:pt idx="4">
                  <c:v>41.47</c:v>
                </c:pt>
                <c:pt idx="5">
                  <c:v>81.08</c:v>
                </c:pt>
                <c:pt idx="6">
                  <c:v>121</c:v>
                </c:pt>
                <c:pt idx="7">
                  <c:v>154.19999999999999</c:v>
                </c:pt>
                <c:pt idx="8">
                  <c:v>160</c:v>
                </c:pt>
                <c:pt idx="9">
                  <c:v>147.69999999999999</c:v>
                </c:pt>
                <c:pt idx="10">
                  <c:v>116.2</c:v>
                </c:pt>
                <c:pt idx="11">
                  <c:v>77.61</c:v>
                </c:pt>
                <c:pt idx="12">
                  <c:v>36.770000000000003</c:v>
                </c:pt>
                <c:pt idx="13">
                  <c:v>2.669</c:v>
                </c:pt>
                <c:pt idx="14">
                  <c:v>0.48</c:v>
                </c:pt>
                <c:pt idx="15">
                  <c:v>10.75</c:v>
                </c:pt>
                <c:pt idx="16">
                  <c:v>40.81</c:v>
                </c:pt>
                <c:pt idx="17">
                  <c:v>81.97</c:v>
                </c:pt>
                <c:pt idx="18">
                  <c:v>122.1</c:v>
                </c:pt>
                <c:pt idx="19">
                  <c:v>158.19999999999999</c:v>
                </c:pt>
                <c:pt idx="20">
                  <c:v>160.1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D2-4E9A-9C1F-D7ABE5FE7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5723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232"/>
        <c:crosses val="autoZero"/>
        <c:crossBetween val="midCat"/>
      </c:valAx>
      <c:valAx>
        <c:axId val="3228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blank'!$M$4</c:f>
              <c:strCache>
                <c:ptCount val="1"/>
                <c:pt idx="0">
                  <c:v>112,8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blank'!$K$5:$K$41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blank'!$M$5:$M$41</c:f>
              <c:numCache>
                <c:formatCode>0.0</c:formatCode>
                <c:ptCount val="37"/>
                <c:pt idx="0">
                  <c:v>87.72</c:v>
                </c:pt>
                <c:pt idx="1">
                  <c:v>75.03</c:v>
                </c:pt>
                <c:pt idx="2">
                  <c:v>41.63</c:v>
                </c:pt>
                <c:pt idx="3" formatCode="0.00">
                  <c:v>38.090000000000003</c:v>
                </c:pt>
                <c:pt idx="4" formatCode="0.00">
                  <c:v>37.21</c:v>
                </c:pt>
                <c:pt idx="5" formatCode="0.00">
                  <c:v>41.11</c:v>
                </c:pt>
                <c:pt idx="6" formatCode="0.00">
                  <c:v>69.13</c:v>
                </c:pt>
                <c:pt idx="7">
                  <c:v>82.11</c:v>
                </c:pt>
                <c:pt idx="8">
                  <c:v>116.9</c:v>
                </c:pt>
                <c:pt idx="9">
                  <c:v>120.4</c:v>
                </c:pt>
                <c:pt idx="10">
                  <c:v>119.2</c:v>
                </c:pt>
                <c:pt idx="11">
                  <c:v>117</c:v>
                </c:pt>
                <c:pt idx="12">
                  <c:v>83.11</c:v>
                </c:pt>
                <c:pt idx="13">
                  <c:v>68.430000000000007</c:v>
                </c:pt>
                <c:pt idx="14">
                  <c:v>41.41</c:v>
                </c:pt>
                <c:pt idx="15">
                  <c:v>37.11</c:v>
                </c:pt>
                <c:pt idx="16">
                  <c:v>37.590000000000003</c:v>
                </c:pt>
                <c:pt idx="17">
                  <c:v>42.2</c:v>
                </c:pt>
                <c:pt idx="18">
                  <c:v>69.7</c:v>
                </c:pt>
                <c:pt idx="19">
                  <c:v>83.24</c:v>
                </c:pt>
                <c:pt idx="20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2-4FBA-815F-0112C331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72592"/>
        <c:axId val="322868752"/>
      </c:scatterChart>
      <c:valAx>
        <c:axId val="3228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68752"/>
        <c:crosses val="autoZero"/>
        <c:crossBetween val="midCat"/>
      </c:valAx>
      <c:valAx>
        <c:axId val="3228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blank'!$U$4</c:f>
              <c:strCache>
                <c:ptCount val="1"/>
                <c:pt idx="0">
                  <c:v>80,36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blank'!$S$5:$S$41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blank'!$U$5:$U$41</c:f>
              <c:numCache>
                <c:formatCode>0.0</c:formatCode>
                <c:ptCount val="37"/>
                <c:pt idx="0">
                  <c:v>79.260000000000005</c:v>
                </c:pt>
                <c:pt idx="1">
                  <c:v>78.45</c:v>
                </c:pt>
                <c:pt idx="2">
                  <c:v>75.650000000000006</c:v>
                </c:pt>
                <c:pt idx="3">
                  <c:v>71.12</c:v>
                </c:pt>
                <c:pt idx="4" formatCode="0.00">
                  <c:v>69.34</c:v>
                </c:pt>
                <c:pt idx="5" formatCode="0.00">
                  <c:v>74.02</c:v>
                </c:pt>
                <c:pt idx="6" formatCode="0.00">
                  <c:v>78.48</c:v>
                </c:pt>
                <c:pt idx="7" formatCode="0.00">
                  <c:v>79.989999999999995</c:v>
                </c:pt>
                <c:pt idx="8" formatCode="0.00">
                  <c:v>82.2</c:v>
                </c:pt>
                <c:pt idx="9">
                  <c:v>81.39</c:v>
                </c:pt>
                <c:pt idx="10">
                  <c:v>82.37</c:v>
                </c:pt>
                <c:pt idx="11">
                  <c:v>81.180000000000007</c:v>
                </c:pt>
                <c:pt idx="12">
                  <c:v>78.78</c:v>
                </c:pt>
                <c:pt idx="13">
                  <c:v>77.11</c:v>
                </c:pt>
                <c:pt idx="14">
                  <c:v>71.760000000000005</c:v>
                </c:pt>
                <c:pt idx="15">
                  <c:v>69.400000000000006</c:v>
                </c:pt>
                <c:pt idx="16">
                  <c:v>72.239999999999995</c:v>
                </c:pt>
                <c:pt idx="17">
                  <c:v>77.11</c:v>
                </c:pt>
                <c:pt idx="18">
                  <c:v>79.67</c:v>
                </c:pt>
                <c:pt idx="19">
                  <c:v>81.5</c:v>
                </c:pt>
                <c:pt idx="20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B-4D0E-8A96-0DD27FB3B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7115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1152"/>
        <c:crosses val="autoZero"/>
        <c:crossBetween val="midCat"/>
      </c:valAx>
      <c:valAx>
        <c:axId val="3228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blank'!$AC$4</c:f>
              <c:strCache>
                <c:ptCount val="1"/>
                <c:pt idx="0">
                  <c:v>45,53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blank'!$AA$5:$AA$41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blank'!$AC$5:$AC$41</c:f>
              <c:numCache>
                <c:formatCode>0.0</c:formatCode>
                <c:ptCount val="37"/>
                <c:pt idx="0">
                  <c:v>40.799999999999997</c:v>
                </c:pt>
                <c:pt idx="1">
                  <c:v>42.23</c:v>
                </c:pt>
                <c:pt idx="2">
                  <c:v>59.11</c:v>
                </c:pt>
                <c:pt idx="3">
                  <c:v>77.150000000000006</c:v>
                </c:pt>
                <c:pt idx="4">
                  <c:v>82.82</c:v>
                </c:pt>
                <c:pt idx="5" formatCode="0.00">
                  <c:v>103.7</c:v>
                </c:pt>
                <c:pt idx="6" formatCode="0.00">
                  <c:v>112.6</c:v>
                </c:pt>
                <c:pt idx="7" formatCode="0.00">
                  <c:v>107.1</c:v>
                </c:pt>
                <c:pt idx="8" formatCode="0.00">
                  <c:v>86.89</c:v>
                </c:pt>
                <c:pt idx="9" formatCode="0.00">
                  <c:v>79.150000000000006</c:v>
                </c:pt>
                <c:pt idx="10" formatCode="0.00">
                  <c:v>64.099999999999994</c:v>
                </c:pt>
                <c:pt idx="11">
                  <c:v>42.44</c:v>
                </c:pt>
                <c:pt idx="12">
                  <c:v>40.22</c:v>
                </c:pt>
                <c:pt idx="13">
                  <c:v>41.41</c:v>
                </c:pt>
                <c:pt idx="14">
                  <c:v>53.27</c:v>
                </c:pt>
                <c:pt idx="15">
                  <c:v>75.67</c:v>
                </c:pt>
                <c:pt idx="16">
                  <c:v>82.13</c:v>
                </c:pt>
                <c:pt idx="17">
                  <c:v>103.3</c:v>
                </c:pt>
                <c:pt idx="18">
                  <c:v>114.1</c:v>
                </c:pt>
                <c:pt idx="19">
                  <c:v>111.9</c:v>
                </c:pt>
                <c:pt idx="20">
                  <c:v>92.91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E-439A-BAD8-7DEE55A4E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85552"/>
        <c:axId val="322880752"/>
      </c:scatterChart>
      <c:valAx>
        <c:axId val="322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0752"/>
        <c:crosses val="autoZero"/>
        <c:crossBetween val="midCat"/>
      </c:valAx>
      <c:valAx>
        <c:axId val="3228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blank'!$AK$4</c:f>
              <c:strCache>
                <c:ptCount val="1"/>
                <c:pt idx="0">
                  <c:v>74,34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blank'!$AI$5:$AI$41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blank'!$AK$5:$AK$41</c:f>
              <c:numCache>
                <c:formatCode>0.0</c:formatCode>
                <c:ptCount val="37"/>
                <c:pt idx="0">
                  <c:v>36.65</c:v>
                </c:pt>
                <c:pt idx="1">
                  <c:v>2.157</c:v>
                </c:pt>
                <c:pt idx="2">
                  <c:v>0.33300000000000002</c:v>
                </c:pt>
                <c:pt idx="3">
                  <c:v>7.375</c:v>
                </c:pt>
                <c:pt idx="4">
                  <c:v>40.299999999999997</c:v>
                </c:pt>
                <c:pt idx="5">
                  <c:v>80.180000000000007</c:v>
                </c:pt>
                <c:pt idx="6">
                  <c:v>119.4</c:v>
                </c:pt>
                <c:pt idx="7">
                  <c:v>145.5</c:v>
                </c:pt>
                <c:pt idx="8">
                  <c:v>153.1</c:v>
                </c:pt>
                <c:pt idx="9" formatCode="0.00">
                  <c:v>127.2</c:v>
                </c:pt>
                <c:pt idx="10" formatCode="0.00">
                  <c:v>105.2</c:v>
                </c:pt>
                <c:pt idx="11">
                  <c:v>69.150000000000006</c:v>
                </c:pt>
                <c:pt idx="12">
                  <c:v>33.67</c:v>
                </c:pt>
                <c:pt idx="13">
                  <c:v>1.2929999999999999</c:v>
                </c:pt>
                <c:pt idx="14">
                  <c:v>0.21099999999999999</c:v>
                </c:pt>
                <c:pt idx="15">
                  <c:v>10.68</c:v>
                </c:pt>
                <c:pt idx="16">
                  <c:v>40.380000000000003</c:v>
                </c:pt>
                <c:pt idx="17">
                  <c:v>80.22</c:v>
                </c:pt>
                <c:pt idx="18">
                  <c:v>120.1</c:v>
                </c:pt>
                <c:pt idx="19">
                  <c:v>149</c:v>
                </c:pt>
                <c:pt idx="20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7-4A9E-82E7-B70205220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06192"/>
        <c:axId val="716606672"/>
      </c:scatterChart>
      <c:valAx>
        <c:axId val="716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672"/>
        <c:crosses val="autoZero"/>
        <c:crossBetween val="midCat"/>
      </c:valAx>
      <c:valAx>
        <c:axId val="716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blank'!$AS$4</c:f>
              <c:strCache>
                <c:ptCount val="1"/>
                <c:pt idx="0">
                  <c:v>40,43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blank'!$AQ$5:$AQ$41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blank'!$AS$5:$AS$41</c:f>
              <c:numCache>
                <c:formatCode>0.0</c:formatCode>
                <c:ptCount val="37"/>
                <c:pt idx="0">
                  <c:v>40.51</c:v>
                </c:pt>
                <c:pt idx="1">
                  <c:v>44.57</c:v>
                </c:pt>
                <c:pt idx="2">
                  <c:v>69.52</c:v>
                </c:pt>
                <c:pt idx="3">
                  <c:v>80.430000000000007</c:v>
                </c:pt>
                <c:pt idx="4" formatCode="0.00">
                  <c:v>92.77</c:v>
                </c:pt>
                <c:pt idx="5" formatCode="0.00">
                  <c:v>111.4</c:v>
                </c:pt>
                <c:pt idx="6" formatCode="0.00">
                  <c:v>105.3</c:v>
                </c:pt>
                <c:pt idx="7" formatCode="0.00">
                  <c:v>92.5</c:v>
                </c:pt>
                <c:pt idx="8" formatCode="0.00">
                  <c:v>80.08</c:v>
                </c:pt>
                <c:pt idx="9" formatCode="0.00">
                  <c:v>66.27</c:v>
                </c:pt>
                <c:pt idx="10" formatCode="0.00">
                  <c:v>44.36</c:v>
                </c:pt>
                <c:pt idx="11">
                  <c:v>40.5</c:v>
                </c:pt>
                <c:pt idx="12">
                  <c:v>40.33</c:v>
                </c:pt>
                <c:pt idx="13">
                  <c:v>47.81</c:v>
                </c:pt>
                <c:pt idx="14">
                  <c:v>74.239999999999995</c:v>
                </c:pt>
                <c:pt idx="15">
                  <c:v>81.99</c:v>
                </c:pt>
                <c:pt idx="16">
                  <c:v>103.2</c:v>
                </c:pt>
                <c:pt idx="17">
                  <c:v>116.1</c:v>
                </c:pt>
                <c:pt idx="18">
                  <c:v>115.5</c:v>
                </c:pt>
                <c:pt idx="19">
                  <c:v>104.6</c:v>
                </c:pt>
                <c:pt idx="20">
                  <c:v>81.55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6-4EF8-869E-6EB6DA50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9712"/>
        <c:axId val="716565392"/>
      </c:scatterChart>
      <c:valAx>
        <c:axId val="71656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5392"/>
        <c:crosses val="autoZero"/>
        <c:crossBetween val="midCat"/>
      </c:valAx>
      <c:valAx>
        <c:axId val="7165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blank'!$BA$4</c:f>
              <c:strCache>
                <c:ptCount val="1"/>
                <c:pt idx="0">
                  <c:v>79,6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blank'!$AY$5:$AY$41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blank'!$BA$5:$BA$41</c:f>
              <c:numCache>
                <c:formatCode>0.0</c:formatCode>
                <c:ptCount val="37"/>
                <c:pt idx="0">
                  <c:v>78.739999999999995</c:v>
                </c:pt>
                <c:pt idx="1">
                  <c:v>77</c:v>
                </c:pt>
                <c:pt idx="2">
                  <c:v>73.95</c:v>
                </c:pt>
                <c:pt idx="3" formatCode="0.00">
                  <c:v>71.739999999999995</c:v>
                </c:pt>
                <c:pt idx="4" formatCode="0.00">
                  <c:v>71.459999999999994</c:v>
                </c:pt>
                <c:pt idx="5" formatCode="0.00">
                  <c:v>74.25</c:v>
                </c:pt>
                <c:pt idx="6" formatCode="0.00">
                  <c:v>76.900000000000006</c:v>
                </c:pt>
                <c:pt idx="7" formatCode="0.00">
                  <c:v>78.89</c:v>
                </c:pt>
                <c:pt idx="8" formatCode="0.00">
                  <c:v>79.790000000000006</c:v>
                </c:pt>
                <c:pt idx="9">
                  <c:v>79.78</c:v>
                </c:pt>
                <c:pt idx="10">
                  <c:v>79.83</c:v>
                </c:pt>
                <c:pt idx="11">
                  <c:v>79.260000000000005</c:v>
                </c:pt>
                <c:pt idx="12">
                  <c:v>78.3</c:v>
                </c:pt>
                <c:pt idx="13">
                  <c:v>76.67</c:v>
                </c:pt>
                <c:pt idx="14">
                  <c:v>74.27</c:v>
                </c:pt>
                <c:pt idx="15">
                  <c:v>75.150000000000006</c:v>
                </c:pt>
                <c:pt idx="16">
                  <c:v>75.709999999999994</c:v>
                </c:pt>
                <c:pt idx="17">
                  <c:v>76.739999999999995</c:v>
                </c:pt>
                <c:pt idx="18">
                  <c:v>79.19</c:v>
                </c:pt>
                <c:pt idx="19">
                  <c:v>79.989999999999995</c:v>
                </c:pt>
                <c:pt idx="20">
                  <c:v>80.16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F-4C79-8124-8C33C95F4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7872"/>
        <c:axId val="716578352"/>
      </c:scatterChart>
      <c:valAx>
        <c:axId val="7165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8352"/>
        <c:crosses val="autoZero"/>
        <c:crossBetween val="midCat"/>
      </c:valAx>
      <c:valAx>
        <c:axId val="716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blank'!$BI$4</c:f>
              <c:strCache>
                <c:ptCount val="1"/>
                <c:pt idx="0">
                  <c:v>111,3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blank'!$BG$5:$BG$41</c:f>
              <c:numCache>
                <c:formatCode>General</c:formatCode>
                <c:ptCount val="3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195</c:v>
                </c:pt>
                <c:pt idx="10">
                  <c:v>210</c:v>
                </c:pt>
                <c:pt idx="11">
                  <c:v>225</c:v>
                </c:pt>
                <c:pt idx="12">
                  <c:v>240</c:v>
                </c:pt>
                <c:pt idx="13">
                  <c:v>255</c:v>
                </c:pt>
                <c:pt idx="14">
                  <c:v>270</c:v>
                </c:pt>
                <c:pt idx="15">
                  <c:v>285</c:v>
                </c:pt>
                <c:pt idx="16">
                  <c:v>300</c:v>
                </c:pt>
                <c:pt idx="17">
                  <c:v>315</c:v>
                </c:pt>
                <c:pt idx="18">
                  <c:v>330</c:v>
                </c:pt>
                <c:pt idx="19">
                  <c:v>345</c:v>
                </c:pt>
                <c:pt idx="20">
                  <c:v>360</c:v>
                </c:pt>
                <c:pt idx="21">
                  <c:v>370</c:v>
                </c:pt>
                <c:pt idx="22">
                  <c:v>380</c:v>
                </c:pt>
                <c:pt idx="23">
                  <c:v>390</c:v>
                </c:pt>
                <c:pt idx="24">
                  <c:v>400</c:v>
                </c:pt>
                <c:pt idx="25">
                  <c:v>410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450</c:v>
                </c:pt>
                <c:pt idx="30">
                  <c:v>460</c:v>
                </c:pt>
                <c:pt idx="31">
                  <c:v>470</c:v>
                </c:pt>
                <c:pt idx="32">
                  <c:v>480</c:v>
                </c:pt>
                <c:pt idx="33">
                  <c:v>490</c:v>
                </c:pt>
                <c:pt idx="34">
                  <c:v>500</c:v>
                </c:pt>
                <c:pt idx="35">
                  <c:v>510</c:v>
                </c:pt>
                <c:pt idx="36">
                  <c:v>520</c:v>
                </c:pt>
              </c:numCache>
            </c:numRef>
          </c:xVal>
          <c:yVal>
            <c:numRef>
              <c:f>'Sheet2 - blank'!$BI$5:$BI$41</c:f>
              <c:numCache>
                <c:formatCode>0.0</c:formatCode>
                <c:ptCount val="37"/>
                <c:pt idx="0">
                  <c:v>80.61</c:v>
                </c:pt>
                <c:pt idx="1">
                  <c:v>63.45</c:v>
                </c:pt>
                <c:pt idx="2">
                  <c:v>40.36</c:v>
                </c:pt>
                <c:pt idx="3" formatCode="0.00">
                  <c:v>35.51</c:v>
                </c:pt>
                <c:pt idx="4" formatCode="0.00">
                  <c:v>36.979999999999997</c:v>
                </c:pt>
                <c:pt idx="5" formatCode="0.00">
                  <c:v>40.96</c:v>
                </c:pt>
                <c:pt idx="6">
                  <c:v>68.22</c:v>
                </c:pt>
                <c:pt idx="7">
                  <c:v>83.33</c:v>
                </c:pt>
                <c:pt idx="8">
                  <c:v>111</c:v>
                </c:pt>
                <c:pt idx="9">
                  <c:v>118.7</c:v>
                </c:pt>
                <c:pt idx="10">
                  <c:v>117.7</c:v>
                </c:pt>
                <c:pt idx="11">
                  <c:v>99.9</c:v>
                </c:pt>
                <c:pt idx="12">
                  <c:v>80.010000000000005</c:v>
                </c:pt>
                <c:pt idx="13">
                  <c:v>55.11</c:v>
                </c:pt>
                <c:pt idx="14">
                  <c:v>39.69</c:v>
                </c:pt>
                <c:pt idx="15">
                  <c:v>36.36</c:v>
                </c:pt>
                <c:pt idx="16">
                  <c:v>37.57</c:v>
                </c:pt>
                <c:pt idx="17">
                  <c:v>41.52</c:v>
                </c:pt>
                <c:pt idx="18">
                  <c:v>70.19</c:v>
                </c:pt>
                <c:pt idx="19">
                  <c:v>86.04</c:v>
                </c:pt>
                <c:pt idx="20">
                  <c:v>116.9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F-47C4-A2A1-E6D78318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blank'!$H$4</c:f>
              <c:strCache>
                <c:ptCount val="1"/>
                <c:pt idx="0">
                  <c:v>0,054786633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blank'!$G$5:$G$41</c:f>
              <c:numCache>
                <c:formatCode>General</c:formatCode>
                <c:ptCount val="37"/>
                <c:pt idx="0">
                  <c:v>1.9045000000000006E-2</c:v>
                </c:pt>
                <c:pt idx="1">
                  <c:v>5.6163732787246998E-4</c:v>
                </c:pt>
                <c:pt idx="2">
                  <c:v>2.3155305797772919E-20</c:v>
                </c:pt>
                <c:pt idx="3">
                  <c:v>-2.8961851146972082E-3</c:v>
                </c:pt>
                <c:pt idx="4">
                  <c:v>-2.073499999999999E-2</c:v>
                </c:pt>
                <c:pt idx="5">
                  <c:v>-5.7332217818605265E-2</c:v>
                </c:pt>
                <c:pt idx="6">
                  <c:v>-0.10478907385791708</c:v>
                </c:pt>
                <c:pt idx="7">
                  <c:v>-0.1489457624137743</c:v>
                </c:pt>
                <c:pt idx="8">
                  <c:v>-0.16</c:v>
                </c:pt>
                <c:pt idx="9">
                  <c:v>-0.14266724454289539</c:v>
                </c:pt>
                <c:pt idx="10">
                  <c:v>-0.10063215191975176</c:v>
                </c:pt>
                <c:pt idx="11">
                  <c:v>-5.4878557287887965E-2</c:v>
                </c:pt>
                <c:pt idx="12">
                  <c:v>-1.8385000000000019E-2</c:v>
                </c:pt>
                <c:pt idx="13">
                  <c:v>-6.9078803137862757E-4</c:v>
                </c:pt>
                <c:pt idx="14">
                  <c:v>-8.8210688753420628E-20</c:v>
                </c:pt>
                <c:pt idx="15">
                  <c:v>2.782304734852093E-3</c:v>
                </c:pt>
                <c:pt idx="16">
                  <c:v>2.0405000000000003E-2</c:v>
                </c:pt>
                <c:pt idx="17">
                  <c:v>5.7961542853861285E-2</c:v>
                </c:pt>
                <c:pt idx="18">
                  <c:v>0.10574170180207992</c:v>
                </c:pt>
                <c:pt idx="19">
                  <c:v>0.15280946571893059</c:v>
                </c:pt>
                <c:pt idx="20">
                  <c:v>0.16009999999999999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blank'!$H$5:$H$41</c:f>
              <c:numCache>
                <c:formatCode>General</c:formatCode>
                <c:ptCount val="37"/>
                <c:pt idx="0">
                  <c:v>3.2986907630149269E-2</c:v>
                </c:pt>
                <c:pt idx="1">
                  <c:v>2.0960590430472784E-3</c:v>
                </c:pt>
                <c:pt idx="2">
                  <c:v>3.7800000000000003E-4</c:v>
                </c:pt>
                <c:pt idx="3">
                  <c:v>1.0808709996174675E-2</c:v>
                </c:pt>
                <c:pt idx="4">
                  <c:v>3.5914073494940676E-2</c:v>
                </c:pt>
                <c:pt idx="5">
                  <c:v>5.7332217818605279E-2</c:v>
                </c:pt>
                <c:pt idx="6">
                  <c:v>6.0499999999999991E-2</c:v>
                </c:pt>
                <c:pt idx="7">
                  <c:v>3.9909896754808737E-2</c:v>
                </c:pt>
                <c:pt idx="8">
                  <c:v>1.9602375278537921E-17</c:v>
                </c:pt>
                <c:pt idx="9">
                  <c:v>-3.8227572961642323E-2</c:v>
                </c:pt>
                <c:pt idx="10">
                  <c:v>-5.8100000000000013E-2</c:v>
                </c:pt>
                <c:pt idx="11">
                  <c:v>-5.4878557287887944E-2</c:v>
                </c:pt>
                <c:pt idx="12">
                  <c:v>-3.1843754097153801E-2</c:v>
                </c:pt>
                <c:pt idx="13">
                  <c:v>-2.5780560303655235E-3</c:v>
                </c:pt>
                <c:pt idx="14">
                  <c:v>-4.7999999999999996E-4</c:v>
                </c:pt>
                <c:pt idx="15">
                  <c:v>-1.0383702632607485E-2</c:v>
                </c:pt>
                <c:pt idx="16">
                  <c:v>-3.5342496728442939E-2</c:v>
                </c:pt>
                <c:pt idx="17">
                  <c:v>-5.7961542853861313E-2</c:v>
                </c:pt>
                <c:pt idx="18">
                  <c:v>-6.1050000000000056E-2</c:v>
                </c:pt>
                <c:pt idx="19">
                  <c:v>-4.0945172935218765E-2</c:v>
                </c:pt>
                <c:pt idx="20">
                  <c:v>-3.9229253526174009E-17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0-46CA-A875-DAFAF7D8D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7951"/>
        <c:axId val="223788431"/>
      </c:scatterChart>
      <c:valAx>
        <c:axId val="22378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8431"/>
        <c:crosses val="autoZero"/>
        <c:crossBetween val="midCat"/>
      </c:valAx>
      <c:valAx>
        <c:axId val="2237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blank'!$P$4</c:f>
              <c:strCache>
                <c:ptCount val="1"/>
                <c:pt idx="0">
                  <c:v>0,079761645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blank'!$O$5:$O$41</c:f>
              <c:numCache>
                <c:formatCode>General</c:formatCode>
                <c:ptCount val="37"/>
                <c:pt idx="0">
                  <c:v>4.3860000000000003E-2</c:v>
                </c:pt>
                <c:pt idx="1">
                  <c:v>1.9419192954042132E-2</c:v>
                </c:pt>
                <c:pt idx="2">
                  <c:v>2.5501465088922925E-18</c:v>
                </c:pt>
                <c:pt idx="3">
                  <c:v>-9.8584174279550199E-3</c:v>
                </c:pt>
                <c:pt idx="4">
                  <c:v>-1.8604999999999993E-2</c:v>
                </c:pt>
                <c:pt idx="5">
                  <c:v>-2.9069159774578968E-2</c:v>
                </c:pt>
                <c:pt idx="6">
                  <c:v>-5.9868336163618245E-2</c:v>
                </c:pt>
                <c:pt idx="7">
                  <c:v>-7.9312169596595386E-2</c:v>
                </c:pt>
                <c:pt idx="8">
                  <c:v>-0.1169</c:v>
                </c:pt>
                <c:pt idx="9">
                  <c:v>-0.11629746948520384</c:v>
                </c:pt>
                <c:pt idx="10">
                  <c:v>-0.10323022813110508</c:v>
                </c:pt>
                <c:pt idx="11">
                  <c:v>-8.2731493398826086E-2</c:v>
                </c:pt>
                <c:pt idx="12">
                  <c:v>-4.1555000000000036E-2</c:v>
                </c:pt>
                <c:pt idx="13">
                  <c:v>-1.7710987256365489E-2</c:v>
                </c:pt>
                <c:pt idx="14">
                  <c:v>-7.6100096276648928E-18</c:v>
                </c:pt>
                <c:pt idx="15">
                  <c:v>9.6047747637545266E-3</c:v>
                </c:pt>
                <c:pt idx="16">
                  <c:v>1.8795000000000006E-2</c:v>
                </c:pt>
                <c:pt idx="17">
                  <c:v>2.9839906166072298E-2</c:v>
                </c:pt>
                <c:pt idx="18">
                  <c:v>6.0361970643775353E-2</c:v>
                </c:pt>
                <c:pt idx="19">
                  <c:v>8.0403665780302044E-2</c:v>
                </c:pt>
                <c:pt idx="20">
                  <c:v>0.11600000000000001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blank'!$P$5:$P$41</c:f>
              <c:numCache>
                <c:formatCode>General</c:formatCode>
                <c:ptCount val="37"/>
                <c:pt idx="0">
                  <c:v>7.5967748419970949E-2</c:v>
                </c:pt>
                <c:pt idx="1">
                  <c:v>7.2473414746468789E-2</c:v>
                </c:pt>
                <c:pt idx="2">
                  <c:v>4.163E-2</c:v>
                </c:pt>
                <c:pt idx="3">
                  <c:v>3.6792114723350616E-2</c:v>
                </c:pt>
                <c:pt idx="4">
                  <c:v>3.2224805274818961E-2</c:v>
                </c:pt>
                <c:pt idx="5">
                  <c:v>2.9069159774578971E-2</c:v>
                </c:pt>
                <c:pt idx="6">
                  <c:v>3.4564999999999992E-2</c:v>
                </c:pt>
                <c:pt idx="7">
                  <c:v>2.1251631793368E-2</c:v>
                </c:pt>
                <c:pt idx="8">
                  <c:v>1.4321985437881769E-17</c:v>
                </c:pt>
                <c:pt idx="9">
                  <c:v>-3.1161813030343505E-2</c:v>
                </c:pt>
                <c:pt idx="10">
                  <c:v>-5.9600000000000014E-2</c:v>
                </c:pt>
                <c:pt idx="11">
                  <c:v>-8.2731493398826059E-2</c:v>
                </c:pt>
                <c:pt idx="12">
                  <c:v>-7.1975371308524674E-2</c:v>
                </c:pt>
                <c:pt idx="13">
                  <c:v>-6.6098304292960944E-2</c:v>
                </c:pt>
                <c:pt idx="14">
                  <c:v>-4.1409999999999995E-2</c:v>
                </c:pt>
                <c:pt idx="15">
                  <c:v>-3.584550741358733E-2</c:v>
                </c:pt>
                <c:pt idx="16">
                  <c:v>-3.2553894928257054E-2</c:v>
                </c:pt>
                <c:pt idx="17">
                  <c:v>-2.9839906166072312E-2</c:v>
                </c:pt>
                <c:pt idx="18">
                  <c:v>-3.4850000000000027E-2</c:v>
                </c:pt>
                <c:pt idx="19">
                  <c:v>-2.1544097314333821E-2</c:v>
                </c:pt>
                <c:pt idx="20">
                  <c:v>-2.8423444153879987E-17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F-44AC-8AF1-643D8EB22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6511"/>
        <c:axId val="223793711"/>
      </c:scatterChart>
      <c:valAx>
        <c:axId val="2237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3711"/>
        <c:crosses val="autoZero"/>
        <c:crossBetween val="midCat"/>
      </c:valAx>
      <c:valAx>
        <c:axId val="2237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blank'!$X$4</c:f>
              <c:strCache>
                <c:ptCount val="1"/>
                <c:pt idx="0">
                  <c:v>0,056823101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blank'!$W$5:$W$41</c:f>
              <c:numCache>
                <c:formatCode>General</c:formatCode>
                <c:ptCount val="37"/>
                <c:pt idx="0">
                  <c:v>3.9630000000000012E-2</c:v>
                </c:pt>
                <c:pt idx="1">
                  <c:v>2.0304354088292755E-2</c:v>
                </c:pt>
                <c:pt idx="2">
                  <c:v>4.6341240306918558E-18</c:v>
                </c:pt>
                <c:pt idx="3">
                  <c:v>-1.8407210487691283E-2</c:v>
                </c:pt>
                <c:pt idx="4">
                  <c:v>-3.4669999999999986E-2</c:v>
                </c:pt>
                <c:pt idx="5">
                  <c:v>-5.2340043943428248E-2</c:v>
                </c:pt>
                <c:pt idx="6">
                  <c:v>-6.7965673689002762E-2</c:v>
                </c:pt>
                <c:pt idx="7">
                  <c:v>-7.7264406844862563E-2</c:v>
                </c:pt>
                <c:pt idx="8">
                  <c:v>-8.2200000000000009E-2</c:v>
                </c:pt>
                <c:pt idx="9">
                  <c:v>-7.8616703001667274E-2</c:v>
                </c:pt>
                <c:pt idx="10">
                  <c:v>-7.133451250972421E-2</c:v>
                </c:pt>
                <c:pt idx="11">
                  <c:v>-5.7402928496723946E-2</c:v>
                </c:pt>
                <c:pt idx="12">
                  <c:v>-3.9390000000000036E-2</c:v>
                </c:pt>
                <c:pt idx="13">
                  <c:v>-1.9957536567855365E-2</c:v>
                </c:pt>
                <c:pt idx="14">
                  <c:v>-1.3187497968636386E-17</c:v>
                </c:pt>
                <c:pt idx="15">
                  <c:v>1.7962041730114911E-2</c:v>
                </c:pt>
                <c:pt idx="16">
                  <c:v>3.6120000000000006E-2</c:v>
                </c:pt>
                <c:pt idx="17">
                  <c:v>5.4525003897294665E-2</c:v>
                </c:pt>
                <c:pt idx="18">
                  <c:v>6.8996243919506206E-2</c:v>
                </c:pt>
                <c:pt idx="19">
                  <c:v>7.8722954842559076E-2</c:v>
                </c:pt>
                <c:pt idx="20">
                  <c:v>8.5000000000000006E-2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blank'!$X$5:$X$41</c:f>
              <c:numCache>
                <c:formatCode>General</c:formatCode>
                <c:ptCount val="37"/>
                <c:pt idx="0">
                  <c:v>6.8641173503954614E-2</c:v>
                </c:pt>
                <c:pt idx="1">
                  <c:v>7.5776881072377414E-2</c:v>
                </c:pt>
                <c:pt idx="2">
                  <c:v>7.5650000000000009E-2</c:v>
                </c:pt>
                <c:pt idx="3">
                  <c:v>6.8696644765678536E-2</c:v>
                </c:pt>
                <c:pt idx="4">
                  <c:v>6.0050201498412982E-2</c:v>
                </c:pt>
                <c:pt idx="5">
                  <c:v>5.2340043943428255E-2</c:v>
                </c:pt>
                <c:pt idx="6">
                  <c:v>3.9239999999999997E-2</c:v>
                </c:pt>
                <c:pt idx="7">
                  <c:v>2.0702935417750656E-2</c:v>
                </c:pt>
                <c:pt idx="8">
                  <c:v>1.0070720299348858E-17</c:v>
                </c:pt>
                <c:pt idx="9">
                  <c:v>-2.1065282080894168E-2</c:v>
                </c:pt>
                <c:pt idx="10">
                  <c:v>-4.1185000000000006E-2</c:v>
                </c:pt>
                <c:pt idx="11">
                  <c:v>-5.7402928496723925E-2</c:v>
                </c:pt>
                <c:pt idx="12">
                  <c:v>-6.8225481310138059E-2</c:v>
                </c:pt>
                <c:pt idx="13">
                  <c:v>-7.4482540465150057E-2</c:v>
                </c:pt>
                <c:pt idx="14">
                  <c:v>-7.1760000000000004E-2</c:v>
                </c:pt>
                <c:pt idx="15">
                  <c:v>-6.7035252344461352E-2</c:v>
                </c:pt>
                <c:pt idx="16">
                  <c:v>-6.2561675169387848E-2</c:v>
                </c:pt>
                <c:pt idx="17">
                  <c:v>-5.4525003897294692E-2</c:v>
                </c:pt>
                <c:pt idx="18">
                  <c:v>-3.9835000000000037E-2</c:v>
                </c:pt>
                <c:pt idx="19">
                  <c:v>-2.1093752175855438E-2</c:v>
                </c:pt>
                <c:pt idx="20">
                  <c:v>-2.0827523733446543E-17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4-4F8D-8C06-3978DCE0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10031"/>
        <c:axId val="223796591"/>
      </c:scatterChart>
      <c:valAx>
        <c:axId val="2238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6591"/>
        <c:crosses val="autoZero"/>
        <c:crossBetween val="midCat"/>
      </c:valAx>
      <c:valAx>
        <c:axId val="2237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1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blank'!$AF$4</c:f>
              <c:strCache>
                <c:ptCount val="1"/>
                <c:pt idx="0">
                  <c:v>0,032194572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blank'!$AE$5:$AE$41</c:f>
              <c:numCache>
                <c:formatCode>General</c:formatCode>
                <c:ptCount val="37"/>
                <c:pt idx="0">
                  <c:v>2.0400000000000001E-2</c:v>
                </c:pt>
                <c:pt idx="1">
                  <c:v>1.092992827467945E-2</c:v>
                </c:pt>
                <c:pt idx="2">
                  <c:v>3.6209262584824268E-18</c:v>
                </c:pt>
                <c:pt idx="3">
                  <c:v>-1.9967889329659486E-2</c:v>
                </c:pt>
                <c:pt idx="4">
                  <c:v>-4.1409999999999975E-2</c:v>
                </c:pt>
                <c:pt idx="5">
                  <c:v>-7.3326973209044966E-2</c:v>
                </c:pt>
                <c:pt idx="6">
                  <c:v>-9.7514460466127786E-2</c:v>
                </c:pt>
                <c:pt idx="7">
                  <c:v>-0.10345065599555921</c:v>
                </c:pt>
                <c:pt idx="8">
                  <c:v>-8.6889999999999995E-2</c:v>
                </c:pt>
                <c:pt idx="9">
                  <c:v>-7.6453029150779769E-2</c:v>
                </c:pt>
                <c:pt idx="10">
                  <c:v>-5.5512228382582504E-2</c:v>
                </c:pt>
                <c:pt idx="11">
                  <c:v>-3.0009611793557083E-2</c:v>
                </c:pt>
                <c:pt idx="12">
                  <c:v>-2.0110000000000017E-2</c:v>
                </c:pt>
                <c:pt idx="13">
                  <c:v>-1.0717696657695378E-2</c:v>
                </c:pt>
                <c:pt idx="14">
                  <c:v>-9.7895487289473292E-18</c:v>
                </c:pt>
                <c:pt idx="15">
                  <c:v>1.9584837142907711E-2</c:v>
                </c:pt>
                <c:pt idx="16">
                  <c:v>4.1065000000000004E-2</c:v>
                </c:pt>
                <c:pt idx="17">
                  <c:v>7.3044130496570339E-2</c:v>
                </c:pt>
                <c:pt idx="18">
                  <c:v>9.8813498571804409E-2</c:v>
                </c:pt>
                <c:pt idx="19">
                  <c:v>0.10808709996174674</c:v>
                </c:pt>
                <c:pt idx="20">
                  <c:v>9.2909999999999993E-2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blank'!$AF$5:$AF$41</c:f>
              <c:numCache>
                <c:formatCode>General</c:formatCode>
                <c:ptCount val="37"/>
                <c:pt idx="0">
                  <c:v>3.5333836474405092E-2</c:v>
                </c:pt>
                <c:pt idx="1">
                  <c:v>4.0791047644187353E-2</c:v>
                </c:pt>
                <c:pt idx="2">
                  <c:v>5.9110000000000003E-2</c:v>
                </c:pt>
                <c:pt idx="3">
                  <c:v>7.4521177498201627E-2</c:v>
                </c:pt>
                <c:pt idx="4">
                  <c:v>7.1724223941427204E-2</c:v>
                </c:pt>
                <c:pt idx="5">
                  <c:v>7.3326973209044979E-2</c:v>
                </c:pt>
                <c:pt idx="6">
                  <c:v>5.6299999999999989E-2</c:v>
                </c:pt>
                <c:pt idx="7">
                  <c:v>2.7719519730480001E-2</c:v>
                </c:pt>
                <c:pt idx="8">
                  <c:v>1.0645314924700999E-17</c:v>
                </c:pt>
                <c:pt idx="9">
                  <c:v>-2.0485527419864525E-2</c:v>
                </c:pt>
                <c:pt idx="10">
                  <c:v>-3.2050000000000002E-2</c:v>
                </c:pt>
                <c:pt idx="11">
                  <c:v>-3.0009611793557073E-2</c:v>
                </c:pt>
                <c:pt idx="12">
                  <c:v>-3.4831541740210109E-2</c:v>
                </c:pt>
                <c:pt idx="13">
                  <c:v>-3.9998988466630317E-2</c:v>
                </c:pt>
                <c:pt idx="14">
                  <c:v>-5.3270000000000005E-2</c:v>
                </c:pt>
                <c:pt idx="15">
                  <c:v>-7.3091607275293805E-2</c:v>
                </c:pt>
                <c:pt idx="16">
                  <c:v>-7.1126666412815939E-2</c:v>
                </c:pt>
                <c:pt idx="17">
                  <c:v>-7.3044130496570381E-2</c:v>
                </c:pt>
                <c:pt idx="18">
                  <c:v>-5.7050000000000045E-2</c:v>
                </c:pt>
                <c:pt idx="19">
                  <c:v>-2.8961851146972063E-2</c:v>
                </c:pt>
                <c:pt idx="20">
                  <c:v>-2.2765708589111976E-17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B-4B66-AA01-BF0554DB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98511"/>
        <c:axId val="223797551"/>
      </c:scatterChart>
      <c:valAx>
        <c:axId val="2237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7551"/>
        <c:crosses val="autoZero"/>
        <c:crossBetween val="midCat"/>
      </c:valAx>
      <c:valAx>
        <c:axId val="2237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blank'!$AN$4</c:f>
              <c:strCache>
                <c:ptCount val="1"/>
                <c:pt idx="0">
                  <c:v>0,052566318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blank'!$AM$5:$AM$41</c:f>
              <c:numCache>
                <c:formatCode>General</c:formatCode>
                <c:ptCount val="37"/>
                <c:pt idx="0">
                  <c:v>1.8325000000000004E-2</c:v>
                </c:pt>
                <c:pt idx="1">
                  <c:v>5.5827268028613727E-4</c:v>
                </c:pt>
                <c:pt idx="2">
                  <c:v>2.0398721774228524E-20</c:v>
                </c:pt>
                <c:pt idx="3">
                  <c:v>-1.9087904576310913E-3</c:v>
                </c:pt>
                <c:pt idx="4">
                  <c:v>-2.0149999999999987E-2</c:v>
                </c:pt>
                <c:pt idx="5">
                  <c:v>-5.669582171553738E-2</c:v>
                </c:pt>
                <c:pt idx="6">
                  <c:v>-0.10340343321186199</c:v>
                </c:pt>
                <c:pt idx="7">
                  <c:v>-0.1405422077250594</c:v>
                </c:pt>
                <c:pt idx="8">
                  <c:v>-0.15309999999999999</c:v>
                </c:pt>
                <c:pt idx="9">
                  <c:v>-0.1228657651039695</c:v>
                </c:pt>
                <c:pt idx="10">
                  <c:v>-9.1105872478122948E-2</c:v>
                </c:pt>
                <c:pt idx="11">
                  <c:v>-4.8896433919049777E-2</c:v>
                </c:pt>
                <c:pt idx="12">
                  <c:v>-1.6835000000000013E-2</c:v>
                </c:pt>
                <c:pt idx="13">
                  <c:v>-3.3465302531755916E-4</c:v>
                </c:pt>
                <c:pt idx="14">
                  <c:v>-3.8775948597857822E-20</c:v>
                </c:pt>
                <c:pt idx="15">
                  <c:v>2.7641874016949169E-3</c:v>
                </c:pt>
                <c:pt idx="16">
                  <c:v>2.0190000000000003E-2</c:v>
                </c:pt>
                <c:pt idx="17">
                  <c:v>5.6724105986784831E-2</c:v>
                </c:pt>
                <c:pt idx="18">
                  <c:v>0.10400965099451105</c:v>
                </c:pt>
                <c:pt idx="19">
                  <c:v>0.14392294811707118</c:v>
                </c:pt>
                <c:pt idx="20">
                  <c:v>0.156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blank'!$AN$5:$AN$41</c:f>
              <c:numCache>
                <c:formatCode>General</c:formatCode>
                <c:ptCount val="37"/>
                <c:pt idx="0">
                  <c:v>3.1739831048699679E-2</c:v>
                </c:pt>
                <c:pt idx="1">
                  <c:v>2.0835020073055204E-3</c:v>
                </c:pt>
                <c:pt idx="2">
                  <c:v>3.3300000000000002E-4</c:v>
                </c:pt>
                <c:pt idx="3">
                  <c:v>7.1237029688818784E-3</c:v>
                </c:pt>
                <c:pt idx="4">
                  <c:v>3.4900823772512878E-2</c:v>
                </c:pt>
                <c:pt idx="5">
                  <c:v>5.6695821715537387E-2</c:v>
                </c:pt>
                <c:pt idx="6">
                  <c:v>5.9699999999999996E-2</c:v>
                </c:pt>
                <c:pt idx="7">
                  <c:v>3.7658171062416805E-2</c:v>
                </c:pt>
                <c:pt idx="8">
                  <c:v>1.8757022844650971E-17</c:v>
                </c:pt>
                <c:pt idx="9">
                  <c:v>-3.2921782537040645E-2</c:v>
                </c:pt>
                <c:pt idx="10">
                  <c:v>-5.2600000000000015E-2</c:v>
                </c:pt>
                <c:pt idx="11">
                  <c:v>-4.8896433919049756E-2</c:v>
                </c:pt>
                <c:pt idx="12">
                  <c:v>-2.9159075345422038E-2</c:v>
                </c:pt>
                <c:pt idx="13">
                  <c:v>-1.2489420933917653E-3</c:v>
                </c:pt>
                <c:pt idx="14">
                  <c:v>-2.1100000000000001E-4</c:v>
                </c:pt>
                <c:pt idx="15">
                  <c:v>-1.0316087824767251E-2</c:v>
                </c:pt>
                <c:pt idx="16">
                  <c:v>-3.4970105804815632E-2</c:v>
                </c:pt>
                <c:pt idx="17">
                  <c:v>-5.6724105986784852E-2</c:v>
                </c:pt>
                <c:pt idx="18">
                  <c:v>-6.0050000000000055E-2</c:v>
                </c:pt>
                <c:pt idx="19">
                  <c:v>-3.8564037720275578E-2</c:v>
                </c:pt>
                <c:pt idx="20">
                  <c:v>-3.8224631793148945E-17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F-4741-B840-BDE502579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9231"/>
        <c:axId val="223831151"/>
      </c:scatterChart>
      <c:valAx>
        <c:axId val="223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31151"/>
        <c:crosses val="autoZero"/>
        <c:crossBetween val="midCat"/>
      </c:valAx>
      <c:valAx>
        <c:axId val="2238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blank'!$AV$4</c:f>
              <c:strCache>
                <c:ptCount val="1"/>
                <c:pt idx="0">
                  <c:v>0,028588327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blank'!$AU$5:$AU$41</c:f>
              <c:numCache>
                <c:formatCode>General</c:formatCode>
                <c:ptCount val="37"/>
                <c:pt idx="0">
                  <c:v>2.0255000000000002E-2</c:v>
                </c:pt>
                <c:pt idx="1">
                  <c:v>1.1535564840219349E-2</c:v>
                </c:pt>
                <c:pt idx="2">
                  <c:v>4.2586160292623628E-18</c:v>
                </c:pt>
                <c:pt idx="3">
                  <c:v>-2.0816815797595752E-2</c:v>
                </c:pt>
                <c:pt idx="4">
                  <c:v>-4.6384999999999975E-2</c:v>
                </c:pt>
                <c:pt idx="5">
                  <c:v>-7.8771695424181387E-2</c:v>
                </c:pt>
                <c:pt idx="6">
                  <c:v>-9.119247501850139E-2</c:v>
                </c:pt>
                <c:pt idx="7">
                  <c:v>-8.9348138931738805E-2</c:v>
                </c:pt>
                <c:pt idx="8">
                  <c:v>-8.0079999999999998E-2</c:v>
                </c:pt>
                <c:pt idx="9">
                  <c:v>-6.4011904508176551E-2</c:v>
                </c:pt>
                <c:pt idx="10">
                  <c:v>-3.8416886911877696E-2</c:v>
                </c:pt>
                <c:pt idx="11">
                  <c:v>-2.8637824638055181E-2</c:v>
                </c:pt>
                <c:pt idx="12">
                  <c:v>-2.0165000000000016E-2</c:v>
                </c:pt>
                <c:pt idx="13">
                  <c:v>-1.2374138546351512E-2</c:v>
                </c:pt>
                <c:pt idx="14">
                  <c:v>-1.3643253193862392E-17</c:v>
                </c:pt>
                <c:pt idx="15">
                  <c:v>2.1220573507955639E-2</c:v>
                </c:pt>
                <c:pt idx="16">
                  <c:v>5.1600000000000014E-2</c:v>
                </c:pt>
                <c:pt idx="17">
                  <c:v>8.2095097295758146E-2</c:v>
                </c:pt>
                <c:pt idx="18">
                  <c:v>0.10002593413710263</c:v>
                </c:pt>
                <c:pt idx="19">
                  <c:v>0.10103584142983654</c:v>
                </c:pt>
                <c:pt idx="20">
                  <c:v>8.1549999999999997E-2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blank'!$AV$5:$AV$41</c:f>
              <c:numCache>
                <c:formatCode>General</c:formatCode>
                <c:ptCount val="37"/>
                <c:pt idx="0">
                  <c:v>3.5082689107307607E-2</c:v>
                </c:pt>
                <c:pt idx="1">
                  <c:v>4.3051314077703774E-2</c:v>
                </c:pt>
                <c:pt idx="2">
                  <c:v>6.9519999999999998E-2</c:v>
                </c:pt>
                <c:pt idx="3">
                  <c:v>7.7689414208429772E-2</c:v>
                </c:pt>
                <c:pt idx="4">
                  <c:v>8.0341176709082376E-2</c:v>
                </c:pt>
                <c:pt idx="5">
                  <c:v>7.8771695424181401E-2</c:v>
                </c:pt>
                <c:pt idx="6">
                  <c:v>5.2649999999999988E-2</c:v>
                </c:pt>
                <c:pt idx="7">
                  <c:v>2.3940761671983193E-2</c:v>
                </c:pt>
                <c:pt idx="8">
                  <c:v>9.8109888269082284E-18</c:v>
                </c:pt>
                <c:pt idx="9">
                  <c:v>-1.7151938118944051E-2</c:v>
                </c:pt>
                <c:pt idx="10">
                  <c:v>-2.2180000000000002E-2</c:v>
                </c:pt>
                <c:pt idx="11">
                  <c:v>-2.8637824638055174E-2</c:v>
                </c:pt>
                <c:pt idx="12">
                  <c:v>-3.4926804534626398E-2</c:v>
                </c:pt>
                <c:pt idx="13">
                  <c:v>-4.6180913754880364E-2</c:v>
                </c:pt>
                <c:pt idx="14">
                  <c:v>-7.424E-2</c:v>
                </c:pt>
                <c:pt idx="15">
                  <c:v>-7.9196258497440719E-2</c:v>
                </c:pt>
                <c:pt idx="16">
                  <c:v>-8.9373821670554063E-2</c:v>
                </c:pt>
                <c:pt idx="17">
                  <c:v>-8.2095097295758188E-2</c:v>
                </c:pt>
                <c:pt idx="18">
                  <c:v>-5.7750000000000051E-2</c:v>
                </c:pt>
                <c:pt idx="19">
                  <c:v>-2.7072472117723664E-2</c:v>
                </c:pt>
                <c:pt idx="20">
                  <c:v>-1.9982171299559592E-17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2-45FD-81A4-A66319F7D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4911"/>
        <c:axId val="223829231"/>
      </c:scatterChart>
      <c:valAx>
        <c:axId val="2238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valAx>
        <c:axId val="2238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blank'!$BD$4</c:f>
              <c:strCache>
                <c:ptCount val="1"/>
                <c:pt idx="0">
                  <c:v>0,0562857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blank'!$BC$5:$BC$41</c:f>
              <c:numCache>
                <c:formatCode>General</c:formatCode>
                <c:ptCount val="37"/>
                <c:pt idx="0">
                  <c:v>3.9370000000000002E-2</c:v>
                </c:pt>
                <c:pt idx="1">
                  <c:v>1.9929066472894098E-2</c:v>
                </c:pt>
                <c:pt idx="2">
                  <c:v>4.5299864120246227E-18</c:v>
                </c:pt>
                <c:pt idx="3">
                  <c:v>-1.8567678295654845E-2</c:v>
                </c:pt>
                <c:pt idx="4">
                  <c:v>-3.5729999999999984E-2</c:v>
                </c:pt>
                <c:pt idx="5">
                  <c:v>-5.2502678503101148E-2</c:v>
                </c:pt>
                <c:pt idx="6">
                  <c:v>-6.659735355102335E-2</c:v>
                </c:pt>
                <c:pt idx="7">
                  <c:v>-7.6201888435944595E-2</c:v>
                </c:pt>
                <c:pt idx="8">
                  <c:v>-7.979E-2</c:v>
                </c:pt>
                <c:pt idx="9">
                  <c:v>-7.7061562421341878E-2</c:v>
                </c:pt>
                <c:pt idx="10">
                  <c:v>-6.9134807984111729E-2</c:v>
                </c:pt>
                <c:pt idx="11">
                  <c:v>-5.6045283476845779E-2</c:v>
                </c:pt>
                <c:pt idx="12">
                  <c:v>-3.9150000000000032E-2</c:v>
                </c:pt>
                <c:pt idx="13">
                  <c:v>-1.9843656188010258E-2</c:v>
                </c:pt>
                <c:pt idx="14">
                  <c:v>-1.3648766361909482E-17</c:v>
                </c:pt>
                <c:pt idx="15">
                  <c:v>1.9450251239454402E-2</c:v>
                </c:pt>
                <c:pt idx="16">
                  <c:v>3.7855000000000007E-2</c:v>
                </c:pt>
                <c:pt idx="17">
                  <c:v>5.4263374388255639E-2</c:v>
                </c:pt>
                <c:pt idx="18">
                  <c:v>6.8580551725689678E-2</c:v>
                </c:pt>
                <c:pt idx="19">
                  <c:v>7.7264406844862563E-2</c:v>
                </c:pt>
                <c:pt idx="20">
                  <c:v>8.0159999999999995E-2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blank'!$BD$5:$BD$41</c:f>
              <c:numCache>
                <c:formatCode>General</c:formatCode>
                <c:ptCount val="37"/>
                <c:pt idx="0">
                  <c:v>6.8190840293986685E-2</c:v>
                </c:pt>
                <c:pt idx="1">
                  <c:v>7.4376288624258255E-2</c:v>
                </c:pt>
                <c:pt idx="2">
                  <c:v>7.3950000000000002E-2</c:v>
                </c:pt>
                <c:pt idx="3">
                  <c:v>6.9295518777977766E-2</c:v>
                </c:pt>
                <c:pt idx="4">
                  <c:v>6.1886175354435989E-2</c:v>
                </c:pt>
                <c:pt idx="5">
                  <c:v>5.2502678503101155E-2</c:v>
                </c:pt>
                <c:pt idx="6">
                  <c:v>3.8449999999999998E-2</c:v>
                </c:pt>
                <c:pt idx="7">
                  <c:v>2.0418234468137883E-2</c:v>
                </c:pt>
                <c:pt idx="8">
                  <c:v>9.7754595217158792E-18</c:v>
                </c:pt>
                <c:pt idx="9">
                  <c:v>-2.0648583418279111E-2</c:v>
                </c:pt>
                <c:pt idx="10">
                  <c:v>-3.9915000000000006E-2</c:v>
                </c:pt>
                <c:pt idx="11">
                  <c:v>-5.6045283476845759E-2</c:v>
                </c:pt>
                <c:pt idx="12">
                  <c:v>-6.7809789116321517E-2</c:v>
                </c:pt>
                <c:pt idx="13">
                  <c:v>-7.4057533101582876E-2</c:v>
                </c:pt>
                <c:pt idx="14">
                  <c:v>-7.4270000000000003E-2</c:v>
                </c:pt>
                <c:pt idx="15">
                  <c:v>-7.2589325845623498E-2</c:v>
                </c:pt>
                <c:pt idx="16">
                  <c:v>-6.556678332051985E-2</c:v>
                </c:pt>
                <c:pt idx="17">
                  <c:v>-5.426337438825566E-2</c:v>
                </c:pt>
                <c:pt idx="18">
                  <c:v>-3.9595000000000033E-2</c:v>
                </c:pt>
                <c:pt idx="19">
                  <c:v>-2.0702935417750628E-2</c:v>
                </c:pt>
                <c:pt idx="20">
                  <c:v>-1.9641580029094995E-17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B-4315-8648-9BEA52EE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6635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66351"/>
        <c:crosses val="autoZero"/>
        <c:crossBetween val="midCat"/>
      </c:valAx>
      <c:valAx>
        <c:axId val="2237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'Sheet2 - blank'!$BL$4</c:f>
              <c:strCache>
                <c:ptCount val="1"/>
                <c:pt idx="0">
                  <c:v>0,078700985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'Sheet2 - blank'!$BK$5:$BK$41</c:f>
              <c:numCache>
                <c:formatCode>General</c:formatCode>
                <c:ptCount val="37"/>
                <c:pt idx="0">
                  <c:v>4.0305000000000007E-2</c:v>
                </c:pt>
                <c:pt idx="1">
                  <c:v>1.6422068411754944E-2</c:v>
                </c:pt>
                <c:pt idx="2">
                  <c:v>2.4723495820055952E-18</c:v>
                </c:pt>
                <c:pt idx="3">
                  <c:v>-9.1906642915905151E-3</c:v>
                </c:pt>
                <c:pt idx="4">
                  <c:v>-1.8489999999999993E-2</c:v>
                </c:pt>
                <c:pt idx="5">
                  <c:v>-2.8963093757400988E-2</c:v>
                </c:pt>
                <c:pt idx="6">
                  <c:v>-5.9080253046174411E-2</c:v>
                </c:pt>
                <c:pt idx="7">
                  <c:v>-8.0490599104668048E-2</c:v>
                </c:pt>
                <c:pt idx="8">
                  <c:v>-0.111</c:v>
                </c:pt>
                <c:pt idx="9">
                  <c:v>-0.11465539558051241</c:v>
                </c:pt>
                <c:pt idx="10">
                  <c:v>-0.10193119002542843</c:v>
                </c:pt>
                <c:pt idx="11">
                  <c:v>-7.0639967440536119E-2</c:v>
                </c:pt>
                <c:pt idx="12">
                  <c:v>-4.0005000000000041E-2</c:v>
                </c:pt>
                <c:pt idx="13">
                  <c:v>-1.4263517575599911E-2</c:v>
                </c:pt>
                <c:pt idx="14">
                  <c:v>-7.2939213262984682E-18</c:v>
                </c:pt>
                <c:pt idx="15">
                  <c:v>9.4106604799276371E-3</c:v>
                </c:pt>
                <c:pt idx="16">
                  <c:v>1.8785000000000003E-2</c:v>
                </c:pt>
                <c:pt idx="17">
                  <c:v>2.9359073554865448E-2</c:v>
                </c:pt>
                <c:pt idx="18">
                  <c:v>6.0786323091629735E-2</c:v>
                </c:pt>
                <c:pt idx="19">
                  <c:v>8.3108258093911438E-2</c:v>
                </c:pt>
                <c:pt idx="20">
                  <c:v>0.1169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'Sheet2 - blank'!$BL$5:$BL$41</c:f>
              <c:numCache>
                <c:formatCode>General</c:formatCode>
                <c:ptCount val="37"/>
                <c:pt idx="0">
                  <c:v>6.9810307799063595E-2</c:v>
                </c:pt>
                <c:pt idx="1">
                  <c:v>6.1287993678041393E-2</c:v>
                </c:pt>
                <c:pt idx="2">
                  <c:v>4.036E-2</c:v>
                </c:pt>
                <c:pt idx="3">
                  <c:v>3.4300026091524813E-2</c:v>
                </c:pt>
                <c:pt idx="4">
                  <c:v>3.2025619431948545E-2</c:v>
                </c:pt>
                <c:pt idx="5">
                  <c:v>2.8963093757400991E-2</c:v>
                </c:pt>
                <c:pt idx="6">
                  <c:v>3.4109999999999994E-2</c:v>
                </c:pt>
                <c:pt idx="7">
                  <c:v>2.1567391028393078E-2</c:v>
                </c:pt>
                <c:pt idx="8">
                  <c:v>1.3599147849485683E-17</c:v>
                </c:pt>
                <c:pt idx="9">
                  <c:v>-3.072182065366922E-2</c:v>
                </c:pt>
                <c:pt idx="10">
                  <c:v>-5.8850000000000013E-2</c:v>
                </c:pt>
                <c:pt idx="11">
                  <c:v>-7.0639967440536092E-2</c:v>
                </c:pt>
                <c:pt idx="12">
                  <c:v>-6.9290692556792918E-2</c:v>
                </c:pt>
                <c:pt idx="13">
                  <c:v>-5.3232172286790551E-2</c:v>
                </c:pt>
                <c:pt idx="14">
                  <c:v>-3.9689999999999996E-2</c:v>
                </c:pt>
                <c:pt idx="15">
                  <c:v>-3.5121063043870526E-2</c:v>
                </c:pt>
                <c:pt idx="16">
                  <c:v>-3.2536574420181361E-2</c:v>
                </c:pt>
                <c:pt idx="17">
                  <c:v>-2.9359073554865462E-2</c:v>
                </c:pt>
                <c:pt idx="18">
                  <c:v>-3.5095000000000029E-2</c:v>
                </c:pt>
                <c:pt idx="19">
                  <c:v>-2.2268790640620879E-2</c:v>
                </c:pt>
                <c:pt idx="20">
                  <c:v>-2.8643970875763538E-17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9BD-95C0-343C9D747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7787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7871"/>
        <c:crosses val="autoZero"/>
        <c:crossBetween val="midCat"/>
      </c:valAx>
      <c:valAx>
        <c:axId val="2237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(2)'!$E$4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(2)'!$C$5:$C$41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(2)'!$E$5:$E$41</c:f>
              <c:numCache>
                <c:formatCode>0.0</c:formatCode>
                <c:ptCount val="37"/>
                <c:pt idx="0">
                  <c:v>160.30000000000001</c:v>
                </c:pt>
                <c:pt idx="1">
                  <c:v>150.30000000000001</c:v>
                </c:pt>
                <c:pt idx="2">
                  <c:v>118.6</c:v>
                </c:pt>
                <c:pt idx="3" formatCode="0.00">
                  <c:v>77.48</c:v>
                </c:pt>
                <c:pt idx="4" formatCode="0.00">
                  <c:v>38.090000000000003</c:v>
                </c:pt>
                <c:pt idx="5" formatCode="0.000">
                  <c:v>2.17</c:v>
                </c:pt>
                <c:pt idx="6" formatCode="0.000">
                  <c:v>0.378</c:v>
                </c:pt>
                <c:pt idx="7" formatCode="0.00">
                  <c:v>11.19</c:v>
                </c:pt>
                <c:pt idx="8" formatCode="0.00">
                  <c:v>41.47</c:v>
                </c:pt>
                <c:pt idx="9" formatCode="0.00">
                  <c:v>81.08</c:v>
                </c:pt>
                <c:pt idx="10">
                  <c:v>121</c:v>
                </c:pt>
                <c:pt idx="11">
                  <c:v>154.19999999999999</c:v>
                </c:pt>
                <c:pt idx="12">
                  <c:v>160</c:v>
                </c:pt>
                <c:pt idx="13">
                  <c:v>147.69999999999999</c:v>
                </c:pt>
                <c:pt idx="14">
                  <c:v>116.2</c:v>
                </c:pt>
                <c:pt idx="15" formatCode="0.00">
                  <c:v>77.61</c:v>
                </c:pt>
                <c:pt idx="16" formatCode="0.00">
                  <c:v>36.770000000000003</c:v>
                </c:pt>
                <c:pt idx="17" formatCode="0.000">
                  <c:v>2.669</c:v>
                </c:pt>
                <c:pt idx="18" formatCode="0.000">
                  <c:v>0.48</c:v>
                </c:pt>
                <c:pt idx="19" formatCode="0.00">
                  <c:v>10.75</c:v>
                </c:pt>
                <c:pt idx="20" formatCode="0.00">
                  <c:v>40.81</c:v>
                </c:pt>
                <c:pt idx="21" formatCode="0.00">
                  <c:v>81.97</c:v>
                </c:pt>
                <c:pt idx="22">
                  <c:v>122.1</c:v>
                </c:pt>
                <c:pt idx="23">
                  <c:v>158.19999999999999</c:v>
                </c:pt>
                <c:pt idx="24">
                  <c:v>160.1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6-4455-8B0E-B407F756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5723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232"/>
        <c:crosses val="autoZero"/>
        <c:crossBetween val="midCat"/>
      </c:valAx>
      <c:valAx>
        <c:axId val="3228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(2)'!$M$4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(2)'!$K$5:$K$41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(2)'!$M$5:$M$41</c:f>
              <c:numCache>
                <c:formatCode>0.0</c:formatCode>
                <c:ptCount val="37"/>
                <c:pt idx="0">
                  <c:v>117.4</c:v>
                </c:pt>
                <c:pt idx="1">
                  <c:v>120.1</c:v>
                </c:pt>
                <c:pt idx="2">
                  <c:v>119.9</c:v>
                </c:pt>
                <c:pt idx="3">
                  <c:v>112.8</c:v>
                </c:pt>
                <c:pt idx="4" formatCode="0.00">
                  <c:v>87.72</c:v>
                </c:pt>
                <c:pt idx="5" formatCode="0.00">
                  <c:v>75.03</c:v>
                </c:pt>
                <c:pt idx="6" formatCode="0.00">
                  <c:v>41.63</c:v>
                </c:pt>
                <c:pt idx="7" formatCode="0.00">
                  <c:v>38.090000000000003</c:v>
                </c:pt>
                <c:pt idx="8" formatCode="0.00">
                  <c:v>37.21</c:v>
                </c:pt>
                <c:pt idx="9" formatCode="0.00">
                  <c:v>41.11</c:v>
                </c:pt>
                <c:pt idx="10" formatCode="0.00">
                  <c:v>69.13</c:v>
                </c:pt>
                <c:pt idx="11" formatCode="0.00">
                  <c:v>82.11</c:v>
                </c:pt>
                <c:pt idx="12">
                  <c:v>116.9</c:v>
                </c:pt>
                <c:pt idx="13">
                  <c:v>120.4</c:v>
                </c:pt>
                <c:pt idx="14">
                  <c:v>119.2</c:v>
                </c:pt>
                <c:pt idx="15">
                  <c:v>117</c:v>
                </c:pt>
                <c:pt idx="16" formatCode="0.00">
                  <c:v>83.11</c:v>
                </c:pt>
                <c:pt idx="17" formatCode="0.00">
                  <c:v>68.430000000000007</c:v>
                </c:pt>
                <c:pt idx="18" formatCode="0.00">
                  <c:v>41.41</c:v>
                </c:pt>
                <c:pt idx="19" formatCode="0.00">
                  <c:v>37.11</c:v>
                </c:pt>
                <c:pt idx="20" formatCode="0.00">
                  <c:v>37.590000000000003</c:v>
                </c:pt>
                <c:pt idx="21" formatCode="0.00">
                  <c:v>42.2</c:v>
                </c:pt>
                <c:pt idx="22" formatCode="0.00">
                  <c:v>69.7</c:v>
                </c:pt>
                <c:pt idx="23" formatCode="0.00">
                  <c:v>83.24</c:v>
                </c:pt>
                <c:pt idx="24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35-4538-A7F4-A400CD3E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72592"/>
        <c:axId val="322868752"/>
      </c:scatterChart>
      <c:valAx>
        <c:axId val="3228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68752"/>
        <c:crosses val="autoZero"/>
        <c:crossBetween val="midCat"/>
      </c:valAx>
      <c:valAx>
        <c:axId val="3228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(2)'!$U$4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(2)'!$S$5:$S$29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(2)'!$U$5:$U$29</c:f>
              <c:numCache>
                <c:formatCode>0.00</c:formatCode>
                <c:ptCount val="25"/>
                <c:pt idx="0">
                  <c:v>81.819999999999993</c:v>
                </c:pt>
                <c:pt idx="1">
                  <c:v>83.63</c:v>
                </c:pt>
                <c:pt idx="2">
                  <c:v>82.12</c:v>
                </c:pt>
                <c:pt idx="3">
                  <c:v>80.36</c:v>
                </c:pt>
                <c:pt idx="4">
                  <c:v>79.260000000000005</c:v>
                </c:pt>
                <c:pt idx="5">
                  <c:v>78.45</c:v>
                </c:pt>
                <c:pt idx="6">
                  <c:v>75.650000000000006</c:v>
                </c:pt>
                <c:pt idx="7">
                  <c:v>71.12</c:v>
                </c:pt>
                <c:pt idx="8">
                  <c:v>69.34</c:v>
                </c:pt>
                <c:pt idx="9">
                  <c:v>74.02</c:v>
                </c:pt>
                <c:pt idx="10">
                  <c:v>78.48</c:v>
                </c:pt>
                <c:pt idx="11">
                  <c:v>79.989999999999995</c:v>
                </c:pt>
                <c:pt idx="12">
                  <c:v>82.2</c:v>
                </c:pt>
                <c:pt idx="13">
                  <c:v>81.39</c:v>
                </c:pt>
                <c:pt idx="14">
                  <c:v>82.37</c:v>
                </c:pt>
                <c:pt idx="15">
                  <c:v>81.180000000000007</c:v>
                </c:pt>
                <c:pt idx="16">
                  <c:v>78.78</c:v>
                </c:pt>
                <c:pt idx="17">
                  <c:v>77.11</c:v>
                </c:pt>
                <c:pt idx="18">
                  <c:v>71.760000000000005</c:v>
                </c:pt>
                <c:pt idx="19">
                  <c:v>69.400000000000006</c:v>
                </c:pt>
                <c:pt idx="20">
                  <c:v>72.239999999999995</c:v>
                </c:pt>
                <c:pt idx="21">
                  <c:v>77.11</c:v>
                </c:pt>
                <c:pt idx="22">
                  <c:v>79.67</c:v>
                </c:pt>
                <c:pt idx="23">
                  <c:v>81.5</c:v>
                </c:pt>
                <c:pt idx="24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B-4E3E-833B-33E73F40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7115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1152"/>
        <c:crosses val="autoZero"/>
        <c:crossBetween val="midCat"/>
      </c:valAx>
      <c:valAx>
        <c:axId val="3228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(2)'!$AC$4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(2)'!$AA$5:$AA$41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(2)'!$AC$5:$AC$41</c:f>
              <c:numCache>
                <c:formatCode>0.00</c:formatCode>
                <c:ptCount val="37"/>
                <c:pt idx="0" formatCode="0.0">
                  <c:v>102.1</c:v>
                </c:pt>
                <c:pt idx="1">
                  <c:v>81.11</c:v>
                </c:pt>
                <c:pt idx="2">
                  <c:v>73.13</c:v>
                </c:pt>
                <c:pt idx="3">
                  <c:v>45.53</c:v>
                </c:pt>
                <c:pt idx="4">
                  <c:v>40.799999999999997</c:v>
                </c:pt>
                <c:pt idx="5">
                  <c:v>42.23</c:v>
                </c:pt>
                <c:pt idx="6">
                  <c:v>59.11</c:v>
                </c:pt>
                <c:pt idx="7">
                  <c:v>77.150000000000006</c:v>
                </c:pt>
                <c:pt idx="8">
                  <c:v>82.82</c:v>
                </c:pt>
                <c:pt idx="9" formatCode="0.0">
                  <c:v>103.7</c:v>
                </c:pt>
                <c:pt idx="10" formatCode="0.0">
                  <c:v>112.6</c:v>
                </c:pt>
                <c:pt idx="11" formatCode="0.0">
                  <c:v>107.1</c:v>
                </c:pt>
                <c:pt idx="12">
                  <c:v>86.89</c:v>
                </c:pt>
                <c:pt idx="13">
                  <c:v>79.150000000000006</c:v>
                </c:pt>
                <c:pt idx="14">
                  <c:v>64.099999999999994</c:v>
                </c:pt>
                <c:pt idx="15">
                  <c:v>42.44</c:v>
                </c:pt>
                <c:pt idx="16">
                  <c:v>40.22</c:v>
                </c:pt>
                <c:pt idx="17">
                  <c:v>41.41</c:v>
                </c:pt>
                <c:pt idx="18">
                  <c:v>53.27</c:v>
                </c:pt>
                <c:pt idx="19">
                  <c:v>75.67</c:v>
                </c:pt>
                <c:pt idx="20">
                  <c:v>82.13</c:v>
                </c:pt>
                <c:pt idx="21" formatCode="0.0">
                  <c:v>103.3</c:v>
                </c:pt>
                <c:pt idx="22" formatCode="0.0">
                  <c:v>114.1</c:v>
                </c:pt>
                <c:pt idx="23" formatCode="0.0">
                  <c:v>111.9</c:v>
                </c:pt>
                <c:pt idx="24">
                  <c:v>92.91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B-49FF-A11A-A29BEE5D8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85552"/>
        <c:axId val="322880752"/>
      </c:scatterChart>
      <c:valAx>
        <c:axId val="322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0752"/>
        <c:crosses val="autoZero"/>
        <c:crossBetween val="midCat"/>
      </c:valAx>
      <c:valAx>
        <c:axId val="3228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(2)'!$AK$4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(2)'!$AI$5:$AI$41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(2)'!$AK$5:$AK$41</c:f>
              <c:numCache>
                <c:formatCode>0.0</c:formatCode>
                <c:ptCount val="37"/>
                <c:pt idx="0">
                  <c:v>156.1</c:v>
                </c:pt>
                <c:pt idx="1">
                  <c:v>136</c:v>
                </c:pt>
                <c:pt idx="2">
                  <c:v>114.2</c:v>
                </c:pt>
                <c:pt idx="3" formatCode="0.00">
                  <c:v>74.34</c:v>
                </c:pt>
                <c:pt idx="4" formatCode="0.00">
                  <c:v>36.65</c:v>
                </c:pt>
                <c:pt idx="5" formatCode="0.000">
                  <c:v>2.157</c:v>
                </c:pt>
                <c:pt idx="6" formatCode="0.000">
                  <c:v>0.33300000000000002</c:v>
                </c:pt>
                <c:pt idx="7" formatCode="0.000">
                  <c:v>7.375</c:v>
                </c:pt>
                <c:pt idx="8" formatCode="0.00">
                  <c:v>40.299999999999997</c:v>
                </c:pt>
                <c:pt idx="9" formatCode="0.00">
                  <c:v>80.180000000000007</c:v>
                </c:pt>
                <c:pt idx="10">
                  <c:v>119.4</c:v>
                </c:pt>
                <c:pt idx="11">
                  <c:v>145.5</c:v>
                </c:pt>
                <c:pt idx="12">
                  <c:v>153.1</c:v>
                </c:pt>
                <c:pt idx="13">
                  <c:v>127.2</c:v>
                </c:pt>
                <c:pt idx="14">
                  <c:v>105.2</c:v>
                </c:pt>
                <c:pt idx="15" formatCode="0.00">
                  <c:v>69.150000000000006</c:v>
                </c:pt>
                <c:pt idx="16" formatCode="0.00">
                  <c:v>33.67</c:v>
                </c:pt>
                <c:pt idx="17" formatCode="0.000">
                  <c:v>1.2929999999999999</c:v>
                </c:pt>
                <c:pt idx="18" formatCode="0.000">
                  <c:v>0.21099999999999999</c:v>
                </c:pt>
                <c:pt idx="19" formatCode="0.00">
                  <c:v>10.68</c:v>
                </c:pt>
                <c:pt idx="20" formatCode="0.00">
                  <c:v>40.380000000000003</c:v>
                </c:pt>
                <c:pt idx="21" formatCode="0.00">
                  <c:v>80.22</c:v>
                </c:pt>
                <c:pt idx="22">
                  <c:v>120.1</c:v>
                </c:pt>
                <c:pt idx="23">
                  <c:v>149</c:v>
                </c:pt>
                <c:pt idx="24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34-4C72-AABB-92C82FEEC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06192"/>
        <c:axId val="716606672"/>
      </c:scatterChart>
      <c:valAx>
        <c:axId val="716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672"/>
        <c:crosses val="autoZero"/>
        <c:crossBetween val="midCat"/>
      </c:valAx>
      <c:valAx>
        <c:axId val="716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(2)'!$AS$4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(2)'!$AQ$5:$AQ$41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(2)'!$AS$5:$AS$41</c:f>
              <c:numCache>
                <c:formatCode>0.00</c:formatCode>
                <c:ptCount val="37"/>
                <c:pt idx="0">
                  <c:v>81.709999999999994</c:v>
                </c:pt>
                <c:pt idx="1">
                  <c:v>69.12</c:v>
                </c:pt>
                <c:pt idx="2">
                  <c:v>46.3</c:v>
                </c:pt>
                <c:pt idx="3">
                  <c:v>40.43</c:v>
                </c:pt>
                <c:pt idx="4">
                  <c:v>40.51</c:v>
                </c:pt>
                <c:pt idx="5">
                  <c:v>44.57</c:v>
                </c:pt>
                <c:pt idx="6">
                  <c:v>69.52</c:v>
                </c:pt>
                <c:pt idx="7">
                  <c:v>80.430000000000007</c:v>
                </c:pt>
                <c:pt idx="8">
                  <c:v>92.77</c:v>
                </c:pt>
                <c:pt idx="9" formatCode="0.0">
                  <c:v>111.4</c:v>
                </c:pt>
                <c:pt idx="10" formatCode="0.0">
                  <c:v>105.3</c:v>
                </c:pt>
                <c:pt idx="11">
                  <c:v>92.5</c:v>
                </c:pt>
                <c:pt idx="12">
                  <c:v>80.08</c:v>
                </c:pt>
                <c:pt idx="13">
                  <c:v>66.27</c:v>
                </c:pt>
                <c:pt idx="14">
                  <c:v>44.36</c:v>
                </c:pt>
                <c:pt idx="15">
                  <c:v>40.5</c:v>
                </c:pt>
                <c:pt idx="16">
                  <c:v>40.33</c:v>
                </c:pt>
                <c:pt idx="17">
                  <c:v>47.81</c:v>
                </c:pt>
                <c:pt idx="18">
                  <c:v>74.239999999999995</c:v>
                </c:pt>
                <c:pt idx="19">
                  <c:v>81.99</c:v>
                </c:pt>
                <c:pt idx="20" formatCode="0.0">
                  <c:v>103.2</c:v>
                </c:pt>
                <c:pt idx="21" formatCode="0.0">
                  <c:v>116.1</c:v>
                </c:pt>
                <c:pt idx="22" formatCode="0.0">
                  <c:v>115.5</c:v>
                </c:pt>
                <c:pt idx="23" formatCode="0.0">
                  <c:v>104.6</c:v>
                </c:pt>
                <c:pt idx="24">
                  <c:v>81.55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7-490F-8A4E-74F5DD68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9712"/>
        <c:axId val="716565392"/>
      </c:scatterChart>
      <c:valAx>
        <c:axId val="71656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5392"/>
        <c:crosses val="autoZero"/>
        <c:crossBetween val="midCat"/>
      </c:valAx>
      <c:valAx>
        <c:axId val="7165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(2)'!$BA$4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(2)'!$AY$5:$AY$41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(2)'!$BA$5:$BA$41</c:f>
              <c:numCache>
                <c:formatCode>0.00</c:formatCode>
                <c:ptCount val="37"/>
                <c:pt idx="0">
                  <c:v>80.22</c:v>
                </c:pt>
                <c:pt idx="1">
                  <c:v>80.099999999999994</c:v>
                </c:pt>
                <c:pt idx="2">
                  <c:v>80.150000000000006</c:v>
                </c:pt>
                <c:pt idx="3">
                  <c:v>79.599999999999994</c:v>
                </c:pt>
                <c:pt idx="4">
                  <c:v>78.739999999999995</c:v>
                </c:pt>
                <c:pt idx="5">
                  <c:v>77</c:v>
                </c:pt>
                <c:pt idx="6">
                  <c:v>73.95</c:v>
                </c:pt>
                <c:pt idx="7">
                  <c:v>71.739999999999995</c:v>
                </c:pt>
                <c:pt idx="8">
                  <c:v>71.459999999999994</c:v>
                </c:pt>
                <c:pt idx="9">
                  <c:v>74.25</c:v>
                </c:pt>
                <c:pt idx="10">
                  <c:v>76.900000000000006</c:v>
                </c:pt>
                <c:pt idx="11">
                  <c:v>78.89</c:v>
                </c:pt>
                <c:pt idx="12">
                  <c:v>79.790000000000006</c:v>
                </c:pt>
                <c:pt idx="13">
                  <c:v>79.78</c:v>
                </c:pt>
                <c:pt idx="14">
                  <c:v>79.83</c:v>
                </c:pt>
                <c:pt idx="15">
                  <c:v>79.260000000000005</c:v>
                </c:pt>
                <c:pt idx="16">
                  <c:v>78.3</c:v>
                </c:pt>
                <c:pt idx="17">
                  <c:v>76.67</c:v>
                </c:pt>
                <c:pt idx="18">
                  <c:v>74.27</c:v>
                </c:pt>
                <c:pt idx="19">
                  <c:v>75.150000000000006</c:v>
                </c:pt>
                <c:pt idx="20">
                  <c:v>75.709999999999994</c:v>
                </c:pt>
                <c:pt idx="21">
                  <c:v>76.739999999999995</c:v>
                </c:pt>
                <c:pt idx="22">
                  <c:v>79.19</c:v>
                </c:pt>
                <c:pt idx="23">
                  <c:v>79.989999999999995</c:v>
                </c:pt>
                <c:pt idx="24">
                  <c:v>80.16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3-4181-8687-54A47D2D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7872"/>
        <c:axId val="716578352"/>
      </c:scatterChart>
      <c:valAx>
        <c:axId val="7165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8352"/>
        <c:crosses val="autoZero"/>
        <c:crossBetween val="midCat"/>
      </c:valAx>
      <c:valAx>
        <c:axId val="716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(2)'!$BI$4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(2)'!$BG$5:$BG$41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(2)'!$BI$5:$BI$41</c:f>
              <c:numCache>
                <c:formatCode>0.0</c:formatCode>
                <c:ptCount val="37"/>
                <c:pt idx="0">
                  <c:v>115.1</c:v>
                </c:pt>
                <c:pt idx="1">
                  <c:v>119.9</c:v>
                </c:pt>
                <c:pt idx="2">
                  <c:v>119.2</c:v>
                </c:pt>
                <c:pt idx="3">
                  <c:v>111.3</c:v>
                </c:pt>
                <c:pt idx="4" formatCode="0.00">
                  <c:v>80.61</c:v>
                </c:pt>
                <c:pt idx="5" formatCode="0.00">
                  <c:v>63.45</c:v>
                </c:pt>
                <c:pt idx="6" formatCode="0.00">
                  <c:v>40.36</c:v>
                </c:pt>
                <c:pt idx="7" formatCode="0.00">
                  <c:v>35.51</c:v>
                </c:pt>
                <c:pt idx="8" formatCode="0.00">
                  <c:v>36.979999999999997</c:v>
                </c:pt>
                <c:pt idx="9" formatCode="0.00">
                  <c:v>40.96</c:v>
                </c:pt>
                <c:pt idx="10" formatCode="0.00">
                  <c:v>68.22</c:v>
                </c:pt>
                <c:pt idx="11" formatCode="0.00">
                  <c:v>83.33</c:v>
                </c:pt>
                <c:pt idx="12">
                  <c:v>111</c:v>
                </c:pt>
                <c:pt idx="13">
                  <c:v>118.7</c:v>
                </c:pt>
                <c:pt idx="14">
                  <c:v>117.7</c:v>
                </c:pt>
                <c:pt idx="15" formatCode="0.00">
                  <c:v>99.9</c:v>
                </c:pt>
                <c:pt idx="16" formatCode="0.00">
                  <c:v>80.010000000000005</c:v>
                </c:pt>
                <c:pt idx="17" formatCode="0.00">
                  <c:v>55.11</c:v>
                </c:pt>
                <c:pt idx="18" formatCode="0.00">
                  <c:v>39.69</c:v>
                </c:pt>
                <c:pt idx="19" formatCode="0.00">
                  <c:v>36.36</c:v>
                </c:pt>
                <c:pt idx="20" formatCode="0.00">
                  <c:v>37.57</c:v>
                </c:pt>
                <c:pt idx="21" formatCode="0.00">
                  <c:v>41.52</c:v>
                </c:pt>
                <c:pt idx="22" formatCode="0.00">
                  <c:v>70.19</c:v>
                </c:pt>
                <c:pt idx="23" formatCode="0.00">
                  <c:v>86.04</c:v>
                </c:pt>
                <c:pt idx="24">
                  <c:v>116.9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E-4609-BBF3-1DA5CC7E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(2)'!$H$4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(2)'!$G$5:$G$41</c:f>
              <c:numCache>
                <c:formatCode>0.000</c:formatCode>
                <c:ptCount val="37"/>
                <c:pt idx="0">
                  <c:v>0.1603</c:v>
                </c:pt>
                <c:pt idx="1">
                  <c:v>0.145178651691247</c:v>
                </c:pt>
                <c:pt idx="2">
                  <c:v>0.10271061288883443</c:v>
                </c:pt>
                <c:pt idx="3">
                  <c:v>5.4786633406333711E-2</c:v>
                </c:pt>
                <c:pt idx="4">
                  <c:v>1.9045000000000006E-2</c:v>
                </c:pt>
                <c:pt idx="5">
                  <c:v>5.6163732787246998E-4</c:v>
                </c:pt>
                <c:pt idx="6">
                  <c:v>2.3155305797772919E-20</c:v>
                </c:pt>
                <c:pt idx="7">
                  <c:v>-2.8961851146972082E-3</c:v>
                </c:pt>
                <c:pt idx="8">
                  <c:v>-2.073499999999999E-2</c:v>
                </c:pt>
                <c:pt idx="9">
                  <c:v>-5.7332217818605265E-2</c:v>
                </c:pt>
                <c:pt idx="10">
                  <c:v>-0.10478907385791708</c:v>
                </c:pt>
                <c:pt idx="11">
                  <c:v>-0.1489457624137743</c:v>
                </c:pt>
                <c:pt idx="12">
                  <c:v>-0.16</c:v>
                </c:pt>
                <c:pt idx="13">
                  <c:v>-0.14266724454289539</c:v>
                </c:pt>
                <c:pt idx="14">
                  <c:v>-0.10063215191975176</c:v>
                </c:pt>
                <c:pt idx="15">
                  <c:v>-5.4878557287887965E-2</c:v>
                </c:pt>
                <c:pt idx="16">
                  <c:v>-1.8385000000000019E-2</c:v>
                </c:pt>
                <c:pt idx="17">
                  <c:v>-6.9078803137862757E-4</c:v>
                </c:pt>
                <c:pt idx="18">
                  <c:v>-8.8210688753420628E-20</c:v>
                </c:pt>
                <c:pt idx="19">
                  <c:v>2.782304734852093E-3</c:v>
                </c:pt>
                <c:pt idx="20">
                  <c:v>2.0405000000000003E-2</c:v>
                </c:pt>
                <c:pt idx="21">
                  <c:v>5.7961542853861285E-2</c:v>
                </c:pt>
                <c:pt idx="22">
                  <c:v>0.10574170180207992</c:v>
                </c:pt>
                <c:pt idx="23">
                  <c:v>0.15280946571893059</c:v>
                </c:pt>
                <c:pt idx="24">
                  <c:v>0.16009999999999999</c:v>
                </c:pt>
              </c:numCache>
            </c:numRef>
          </c:xVal>
          <c:yVal>
            <c:numRef>
              <c:f>'Sheet2 (2)'!$H$5:$H$41</c:f>
              <c:numCache>
                <c:formatCode>0.000</c:formatCode>
                <c:ptCount val="37"/>
                <c:pt idx="0">
                  <c:v>0</c:v>
                </c:pt>
                <c:pt idx="1">
                  <c:v>3.8900502478908874E-2</c:v>
                </c:pt>
                <c:pt idx="2">
                  <c:v>5.9299999999999992E-2</c:v>
                </c:pt>
                <c:pt idx="3">
                  <c:v>5.4786633406333704E-2</c:v>
                </c:pt>
                <c:pt idx="4">
                  <c:v>3.2986907630149269E-2</c:v>
                </c:pt>
                <c:pt idx="5">
                  <c:v>2.0960590430472784E-3</c:v>
                </c:pt>
                <c:pt idx="6">
                  <c:v>3.7800000000000003E-4</c:v>
                </c:pt>
                <c:pt idx="7">
                  <c:v>1.0808709996174675E-2</c:v>
                </c:pt>
                <c:pt idx="8">
                  <c:v>3.5914073494940676E-2</c:v>
                </c:pt>
                <c:pt idx="9">
                  <c:v>5.7332217818605279E-2</c:v>
                </c:pt>
                <c:pt idx="10">
                  <c:v>6.0499999999999991E-2</c:v>
                </c:pt>
                <c:pt idx="11">
                  <c:v>3.9909896754808737E-2</c:v>
                </c:pt>
                <c:pt idx="12">
                  <c:v>1.9602375278537921E-17</c:v>
                </c:pt>
                <c:pt idx="13">
                  <c:v>-3.8227572961642323E-2</c:v>
                </c:pt>
                <c:pt idx="14">
                  <c:v>-5.8100000000000013E-2</c:v>
                </c:pt>
                <c:pt idx="15">
                  <c:v>-5.4878557287887944E-2</c:v>
                </c:pt>
                <c:pt idx="16">
                  <c:v>-3.1843754097153801E-2</c:v>
                </c:pt>
                <c:pt idx="17">
                  <c:v>-2.5780560303655235E-3</c:v>
                </c:pt>
                <c:pt idx="18">
                  <c:v>-4.7999999999999996E-4</c:v>
                </c:pt>
                <c:pt idx="19">
                  <c:v>-1.0383702632607485E-2</c:v>
                </c:pt>
                <c:pt idx="20">
                  <c:v>-3.5342496728442939E-2</c:v>
                </c:pt>
                <c:pt idx="21">
                  <c:v>-5.7961542853861313E-2</c:v>
                </c:pt>
                <c:pt idx="22">
                  <c:v>-6.1050000000000056E-2</c:v>
                </c:pt>
                <c:pt idx="23">
                  <c:v>-4.0945172935218765E-2</c:v>
                </c:pt>
                <c:pt idx="24">
                  <c:v>-3.9229253526174009E-17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3-4D67-96C0-0272D7D1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7951"/>
        <c:axId val="223788431"/>
      </c:scatterChart>
      <c:valAx>
        <c:axId val="22378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8431"/>
        <c:crosses val="autoZero"/>
        <c:crossBetween val="midCat"/>
      </c:valAx>
      <c:valAx>
        <c:axId val="2237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(2)'!$P$4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(2)'!$O$5:$O$29</c:f>
              <c:numCache>
                <c:formatCode>0.000</c:formatCode>
                <c:ptCount val="25"/>
                <c:pt idx="0">
                  <c:v>0.1174</c:v>
                </c:pt>
                <c:pt idx="1">
                  <c:v>0.11600769173731711</c:v>
                </c:pt>
                <c:pt idx="2">
                  <c:v>0.10383644591375421</c:v>
                </c:pt>
                <c:pt idx="3">
                  <c:v>7.9761644917842558E-2</c:v>
                </c:pt>
                <c:pt idx="4">
                  <c:v>4.3860000000000003E-2</c:v>
                </c:pt>
                <c:pt idx="5">
                  <c:v>1.9419192954042132E-2</c:v>
                </c:pt>
                <c:pt idx="6">
                  <c:v>2.5501465088922925E-18</c:v>
                </c:pt>
                <c:pt idx="7">
                  <c:v>-9.8584174279550199E-3</c:v>
                </c:pt>
                <c:pt idx="8">
                  <c:v>-1.8604999999999993E-2</c:v>
                </c:pt>
                <c:pt idx="9">
                  <c:v>-2.9069159774578968E-2</c:v>
                </c:pt>
                <c:pt idx="10">
                  <c:v>-5.9868336163618245E-2</c:v>
                </c:pt>
                <c:pt idx="11">
                  <c:v>-7.9312169596595386E-2</c:v>
                </c:pt>
                <c:pt idx="12">
                  <c:v>-0.1169</c:v>
                </c:pt>
                <c:pt idx="13">
                  <c:v>-0.11629746948520384</c:v>
                </c:pt>
                <c:pt idx="14">
                  <c:v>-0.10323022813110508</c:v>
                </c:pt>
                <c:pt idx="15">
                  <c:v>-8.2731493398826086E-2</c:v>
                </c:pt>
                <c:pt idx="16">
                  <c:v>-4.1555000000000036E-2</c:v>
                </c:pt>
                <c:pt idx="17">
                  <c:v>-1.7710987256365489E-2</c:v>
                </c:pt>
                <c:pt idx="18">
                  <c:v>-7.6100096276648928E-18</c:v>
                </c:pt>
                <c:pt idx="19">
                  <c:v>9.6047747637545266E-3</c:v>
                </c:pt>
                <c:pt idx="20">
                  <c:v>1.8795000000000006E-2</c:v>
                </c:pt>
                <c:pt idx="21">
                  <c:v>2.9839906166072298E-2</c:v>
                </c:pt>
                <c:pt idx="22">
                  <c:v>6.0361970643775353E-2</c:v>
                </c:pt>
                <c:pt idx="23">
                  <c:v>8.0403665780302044E-2</c:v>
                </c:pt>
                <c:pt idx="24">
                  <c:v>0.11600000000000001</c:v>
                </c:pt>
              </c:numCache>
            </c:numRef>
          </c:xVal>
          <c:yVal>
            <c:numRef>
              <c:f>'Sheet2 (2)'!$P$5:$P$29</c:f>
              <c:numCache>
                <c:formatCode>0.000</c:formatCode>
                <c:ptCount val="25"/>
                <c:pt idx="0">
                  <c:v>0</c:v>
                </c:pt>
                <c:pt idx="1">
                  <c:v>3.1084167316812742E-2</c:v>
                </c:pt>
                <c:pt idx="2">
                  <c:v>5.9949999999999996E-2</c:v>
                </c:pt>
                <c:pt idx="3">
                  <c:v>7.9761644917842558E-2</c:v>
                </c:pt>
                <c:pt idx="4">
                  <c:v>7.5967748419970949E-2</c:v>
                </c:pt>
                <c:pt idx="5">
                  <c:v>7.2473414746468789E-2</c:v>
                </c:pt>
                <c:pt idx="6">
                  <c:v>4.163E-2</c:v>
                </c:pt>
                <c:pt idx="7">
                  <c:v>3.6792114723350616E-2</c:v>
                </c:pt>
                <c:pt idx="8">
                  <c:v>3.2224805274818961E-2</c:v>
                </c:pt>
                <c:pt idx="9">
                  <c:v>2.9069159774578971E-2</c:v>
                </c:pt>
                <c:pt idx="10">
                  <c:v>3.4564999999999992E-2</c:v>
                </c:pt>
                <c:pt idx="11">
                  <c:v>2.1251631793368E-2</c:v>
                </c:pt>
                <c:pt idx="12">
                  <c:v>1.4321985437881769E-17</c:v>
                </c:pt>
                <c:pt idx="13">
                  <c:v>-3.1161813030343505E-2</c:v>
                </c:pt>
                <c:pt idx="14">
                  <c:v>-5.9600000000000014E-2</c:v>
                </c:pt>
                <c:pt idx="15">
                  <c:v>-8.2731493398826059E-2</c:v>
                </c:pt>
                <c:pt idx="16">
                  <c:v>-7.1975371308524674E-2</c:v>
                </c:pt>
                <c:pt idx="17">
                  <c:v>-6.6098304292960944E-2</c:v>
                </c:pt>
                <c:pt idx="18">
                  <c:v>-4.1409999999999995E-2</c:v>
                </c:pt>
                <c:pt idx="19">
                  <c:v>-3.584550741358733E-2</c:v>
                </c:pt>
                <c:pt idx="20">
                  <c:v>-3.2553894928257054E-2</c:v>
                </c:pt>
                <c:pt idx="21">
                  <c:v>-2.9839906166072312E-2</c:v>
                </c:pt>
                <c:pt idx="22">
                  <c:v>-3.4850000000000027E-2</c:v>
                </c:pt>
                <c:pt idx="23">
                  <c:v>-2.1544097314333821E-2</c:v>
                </c:pt>
                <c:pt idx="24">
                  <c:v>-2.8423444153879987E-17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7-476A-9372-5C4376056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6511"/>
        <c:axId val="223793711"/>
      </c:scatterChart>
      <c:valAx>
        <c:axId val="2237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3711"/>
        <c:crosses val="autoZero"/>
        <c:crossBetween val="midCat"/>
      </c:valAx>
      <c:valAx>
        <c:axId val="2237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8452964537819678E-2"/>
          <c:y val="0.1125103416969901"/>
          <c:w val="0.85710651128931525"/>
          <c:h val="0.85863263136448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'Sheet2 (2)'!$X$4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(2)'!$W$5:$W$41</c:f>
              <c:numCache>
                <c:formatCode>0.000</c:formatCode>
                <c:ptCount val="37"/>
                <c:pt idx="0">
                  <c:v>8.181999999999999E-2</c:v>
                </c:pt>
                <c:pt idx="1">
                  <c:v>8.0780376852554778E-2</c:v>
                </c:pt>
                <c:pt idx="2">
                  <c:v>7.1118006158778099E-2</c:v>
                </c:pt>
                <c:pt idx="3">
                  <c:v>5.6823100936150964E-2</c:v>
                </c:pt>
                <c:pt idx="4">
                  <c:v>3.9630000000000012E-2</c:v>
                </c:pt>
                <c:pt idx="5">
                  <c:v>2.0304354088292755E-2</c:v>
                </c:pt>
                <c:pt idx="6">
                  <c:v>4.6341240306918558E-18</c:v>
                </c:pt>
                <c:pt idx="7">
                  <c:v>-1.8407210487691283E-2</c:v>
                </c:pt>
                <c:pt idx="8">
                  <c:v>-3.4669999999999986E-2</c:v>
                </c:pt>
                <c:pt idx="9">
                  <c:v>-5.2340043943428248E-2</c:v>
                </c:pt>
                <c:pt idx="10">
                  <c:v>-6.7965673689002762E-2</c:v>
                </c:pt>
                <c:pt idx="11">
                  <c:v>-7.7264406844862563E-2</c:v>
                </c:pt>
                <c:pt idx="12">
                  <c:v>-8.2200000000000009E-2</c:v>
                </c:pt>
                <c:pt idx="13">
                  <c:v>-7.8616703001667274E-2</c:v>
                </c:pt>
                <c:pt idx="14">
                  <c:v>-7.133451250972421E-2</c:v>
                </c:pt>
                <c:pt idx="15">
                  <c:v>-5.7402928496723946E-2</c:v>
                </c:pt>
                <c:pt idx="16">
                  <c:v>-3.9390000000000036E-2</c:v>
                </c:pt>
                <c:pt idx="17">
                  <c:v>-1.9957536567855365E-2</c:v>
                </c:pt>
                <c:pt idx="18">
                  <c:v>-1.3187497968636386E-17</c:v>
                </c:pt>
                <c:pt idx="19">
                  <c:v>1.7962041730114911E-2</c:v>
                </c:pt>
                <c:pt idx="20">
                  <c:v>3.6120000000000006E-2</c:v>
                </c:pt>
                <c:pt idx="21">
                  <c:v>5.4525003897294665E-2</c:v>
                </c:pt>
                <c:pt idx="22">
                  <c:v>6.8996243919506206E-2</c:v>
                </c:pt>
                <c:pt idx="23">
                  <c:v>7.8722954842559076E-2</c:v>
                </c:pt>
                <c:pt idx="24">
                  <c:v>8.5000000000000006E-2</c:v>
                </c:pt>
              </c:numCache>
            </c:numRef>
          </c:xVal>
          <c:yVal>
            <c:numRef>
              <c:f>'Sheet2 (2)'!$X$5:$X$41</c:f>
              <c:numCache>
                <c:formatCode>0.000</c:formatCode>
                <c:ptCount val="37"/>
                <c:pt idx="0">
                  <c:v>0</c:v>
                </c:pt>
                <c:pt idx="1">
                  <c:v>2.164503674192381E-2</c:v>
                </c:pt>
                <c:pt idx="2">
                  <c:v>4.1059999999999992E-2</c:v>
                </c:pt>
                <c:pt idx="3">
                  <c:v>5.6823100936150957E-2</c:v>
                </c:pt>
                <c:pt idx="4">
                  <c:v>6.8641173503954614E-2</c:v>
                </c:pt>
                <c:pt idx="5">
                  <c:v>7.5776881072377414E-2</c:v>
                </c:pt>
                <c:pt idx="6">
                  <c:v>7.5650000000000009E-2</c:v>
                </c:pt>
                <c:pt idx="7">
                  <c:v>6.8696644765678536E-2</c:v>
                </c:pt>
                <c:pt idx="8">
                  <c:v>6.0050201498412982E-2</c:v>
                </c:pt>
                <c:pt idx="9">
                  <c:v>5.2340043943428255E-2</c:v>
                </c:pt>
                <c:pt idx="10">
                  <c:v>3.9239999999999997E-2</c:v>
                </c:pt>
                <c:pt idx="11">
                  <c:v>2.0702935417750656E-2</c:v>
                </c:pt>
                <c:pt idx="12">
                  <c:v>1.0070720299348858E-17</c:v>
                </c:pt>
                <c:pt idx="13">
                  <c:v>-2.1065282080894168E-2</c:v>
                </c:pt>
                <c:pt idx="14">
                  <c:v>-4.1185000000000006E-2</c:v>
                </c:pt>
                <c:pt idx="15">
                  <c:v>-5.7402928496723925E-2</c:v>
                </c:pt>
                <c:pt idx="16">
                  <c:v>-6.8225481310138059E-2</c:v>
                </c:pt>
                <c:pt idx="17">
                  <c:v>-7.4482540465150057E-2</c:v>
                </c:pt>
                <c:pt idx="18">
                  <c:v>-7.1760000000000004E-2</c:v>
                </c:pt>
                <c:pt idx="19">
                  <c:v>-6.7035252344461352E-2</c:v>
                </c:pt>
                <c:pt idx="20">
                  <c:v>-6.2561675169387848E-2</c:v>
                </c:pt>
                <c:pt idx="21">
                  <c:v>-5.4525003897294692E-2</c:v>
                </c:pt>
                <c:pt idx="22">
                  <c:v>-3.9835000000000037E-2</c:v>
                </c:pt>
                <c:pt idx="23">
                  <c:v>-2.1093752175855438E-2</c:v>
                </c:pt>
                <c:pt idx="24">
                  <c:v>-2.0827523733446543E-17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6-46F6-82A0-E7FC819C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10031"/>
        <c:axId val="223796591"/>
      </c:scatterChart>
      <c:valAx>
        <c:axId val="2238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6591"/>
        <c:crosses val="autoZero"/>
        <c:crossBetween val="midCat"/>
      </c:valAx>
      <c:valAx>
        <c:axId val="2237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1003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(2)'!$AF$4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(2)'!$AE$5:$AE$41</c:f>
              <c:numCache>
                <c:formatCode>0.000</c:formatCode>
                <c:ptCount val="37"/>
                <c:pt idx="0">
                  <c:v>0.1021</c:v>
                </c:pt>
                <c:pt idx="1">
                  <c:v>7.8346243770306329E-2</c:v>
                </c:pt>
                <c:pt idx="2">
                  <c:v>6.3332437778756009E-2</c:v>
                </c:pt>
                <c:pt idx="3">
                  <c:v>3.219457174742351E-2</c:v>
                </c:pt>
                <c:pt idx="4">
                  <c:v>2.0400000000000001E-2</c:v>
                </c:pt>
                <c:pt idx="5">
                  <c:v>1.092992827467945E-2</c:v>
                </c:pt>
                <c:pt idx="6">
                  <c:v>3.6209262584824268E-18</c:v>
                </c:pt>
                <c:pt idx="7">
                  <c:v>-1.9967889329659486E-2</c:v>
                </c:pt>
                <c:pt idx="8">
                  <c:v>-4.1409999999999975E-2</c:v>
                </c:pt>
                <c:pt idx="9">
                  <c:v>-7.3326973209044966E-2</c:v>
                </c:pt>
                <c:pt idx="10">
                  <c:v>-9.7514460466127786E-2</c:v>
                </c:pt>
                <c:pt idx="11">
                  <c:v>-0.10345065599555921</c:v>
                </c:pt>
                <c:pt idx="12">
                  <c:v>-8.6889999999999995E-2</c:v>
                </c:pt>
                <c:pt idx="13">
                  <c:v>-7.6453029150779769E-2</c:v>
                </c:pt>
                <c:pt idx="14">
                  <c:v>-5.5512228382582504E-2</c:v>
                </c:pt>
                <c:pt idx="15">
                  <c:v>-3.0009611793557083E-2</c:v>
                </c:pt>
                <c:pt idx="16">
                  <c:v>-2.0110000000000017E-2</c:v>
                </c:pt>
                <c:pt idx="17">
                  <c:v>-1.0717696657695378E-2</c:v>
                </c:pt>
                <c:pt idx="18">
                  <c:v>-9.7895487289473292E-18</c:v>
                </c:pt>
                <c:pt idx="19">
                  <c:v>1.9584837142907711E-2</c:v>
                </c:pt>
                <c:pt idx="20">
                  <c:v>4.1065000000000004E-2</c:v>
                </c:pt>
                <c:pt idx="21">
                  <c:v>7.3044130496570339E-2</c:v>
                </c:pt>
                <c:pt idx="22">
                  <c:v>9.8813498571804409E-2</c:v>
                </c:pt>
                <c:pt idx="23">
                  <c:v>0.10808709996174674</c:v>
                </c:pt>
                <c:pt idx="24">
                  <c:v>9.2909999999999993E-2</c:v>
                </c:pt>
              </c:numCache>
            </c:numRef>
          </c:xVal>
          <c:yVal>
            <c:numRef>
              <c:f>'Sheet2 (2)'!$AF$5:$AF$41</c:f>
              <c:numCache>
                <c:formatCode>0.000</c:formatCode>
                <c:ptCount val="37"/>
                <c:pt idx="0">
                  <c:v>0</c:v>
                </c:pt>
                <c:pt idx="1">
                  <c:v>2.0992812748265456E-2</c:v>
                </c:pt>
                <c:pt idx="2">
                  <c:v>3.6564999999999993E-2</c:v>
                </c:pt>
                <c:pt idx="3">
                  <c:v>3.2194571747423503E-2</c:v>
                </c:pt>
                <c:pt idx="4">
                  <c:v>3.5333836474405092E-2</c:v>
                </c:pt>
                <c:pt idx="5">
                  <c:v>4.0791047644187353E-2</c:v>
                </c:pt>
                <c:pt idx="6">
                  <c:v>5.9110000000000003E-2</c:v>
                </c:pt>
                <c:pt idx="7">
                  <c:v>7.4521177498201627E-2</c:v>
                </c:pt>
                <c:pt idx="8">
                  <c:v>7.1724223941427204E-2</c:v>
                </c:pt>
                <c:pt idx="9">
                  <c:v>7.3326973209044979E-2</c:v>
                </c:pt>
                <c:pt idx="10">
                  <c:v>5.6299999999999989E-2</c:v>
                </c:pt>
                <c:pt idx="11">
                  <c:v>2.7719519730480001E-2</c:v>
                </c:pt>
                <c:pt idx="12">
                  <c:v>1.0645314924700999E-17</c:v>
                </c:pt>
                <c:pt idx="13">
                  <c:v>-2.0485527419864525E-2</c:v>
                </c:pt>
                <c:pt idx="14">
                  <c:v>-3.2050000000000002E-2</c:v>
                </c:pt>
                <c:pt idx="15">
                  <c:v>-3.0009611793557073E-2</c:v>
                </c:pt>
                <c:pt idx="16">
                  <c:v>-3.4831541740210109E-2</c:v>
                </c:pt>
                <c:pt idx="17">
                  <c:v>-3.9998988466630317E-2</c:v>
                </c:pt>
                <c:pt idx="18">
                  <c:v>-5.3270000000000005E-2</c:v>
                </c:pt>
                <c:pt idx="19">
                  <c:v>-7.3091607275293805E-2</c:v>
                </c:pt>
                <c:pt idx="20">
                  <c:v>-7.1126666412815939E-2</c:v>
                </c:pt>
                <c:pt idx="21">
                  <c:v>-7.3044130496570381E-2</c:v>
                </c:pt>
                <c:pt idx="22">
                  <c:v>-5.7050000000000045E-2</c:v>
                </c:pt>
                <c:pt idx="23">
                  <c:v>-2.8961851146972063E-2</c:v>
                </c:pt>
                <c:pt idx="24">
                  <c:v>-2.2765708589111976E-17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9-42BB-8849-50149021E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98511"/>
        <c:axId val="223797551"/>
      </c:scatterChart>
      <c:valAx>
        <c:axId val="2237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7551"/>
        <c:crosses val="autoZero"/>
        <c:crossBetween val="midCat"/>
      </c:valAx>
      <c:valAx>
        <c:axId val="2237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(2)'!$AN$4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(2)'!$AM$5:$AM$41</c:f>
              <c:numCache>
                <c:formatCode>0.000</c:formatCode>
                <c:ptCount val="37"/>
                <c:pt idx="0">
                  <c:v>0.15609999999999999</c:v>
                </c:pt>
                <c:pt idx="1">
                  <c:v>0.13136591237531331</c:v>
                </c:pt>
                <c:pt idx="2">
                  <c:v>9.8900101112182892E-2</c:v>
                </c:pt>
                <c:pt idx="3">
                  <c:v>5.256631811340795E-2</c:v>
                </c:pt>
                <c:pt idx="4">
                  <c:v>1.8325000000000004E-2</c:v>
                </c:pt>
                <c:pt idx="5">
                  <c:v>5.5827268028613727E-4</c:v>
                </c:pt>
                <c:pt idx="6">
                  <c:v>2.0398721774228524E-20</c:v>
                </c:pt>
                <c:pt idx="7">
                  <c:v>-1.9087904576310913E-3</c:v>
                </c:pt>
                <c:pt idx="8">
                  <c:v>-2.0149999999999987E-2</c:v>
                </c:pt>
                <c:pt idx="9">
                  <c:v>-5.669582171553738E-2</c:v>
                </c:pt>
                <c:pt idx="10">
                  <c:v>-0.10340343321186199</c:v>
                </c:pt>
                <c:pt idx="11">
                  <c:v>-0.1405422077250594</c:v>
                </c:pt>
                <c:pt idx="12">
                  <c:v>-0.15309999999999999</c:v>
                </c:pt>
                <c:pt idx="13">
                  <c:v>-0.1228657651039695</c:v>
                </c:pt>
                <c:pt idx="14">
                  <c:v>-9.1105872478122948E-2</c:v>
                </c:pt>
                <c:pt idx="15">
                  <c:v>-4.8896433919049777E-2</c:v>
                </c:pt>
                <c:pt idx="16">
                  <c:v>-1.6835000000000013E-2</c:v>
                </c:pt>
                <c:pt idx="17">
                  <c:v>-3.3465302531755916E-4</c:v>
                </c:pt>
                <c:pt idx="18">
                  <c:v>-3.8775948597857822E-20</c:v>
                </c:pt>
                <c:pt idx="19">
                  <c:v>2.7641874016949169E-3</c:v>
                </c:pt>
                <c:pt idx="20">
                  <c:v>2.0190000000000003E-2</c:v>
                </c:pt>
                <c:pt idx="21">
                  <c:v>5.6724105986784831E-2</c:v>
                </c:pt>
                <c:pt idx="22">
                  <c:v>0.10400965099451105</c:v>
                </c:pt>
                <c:pt idx="23">
                  <c:v>0.14392294811707118</c:v>
                </c:pt>
                <c:pt idx="24">
                  <c:v>0.156</c:v>
                </c:pt>
              </c:numCache>
            </c:numRef>
          </c:xVal>
          <c:yVal>
            <c:numRef>
              <c:f>'Sheet2 (2)'!$AN$5:$AN$41</c:f>
              <c:numCache>
                <c:formatCode>0.000</c:formatCode>
                <c:ptCount val="37"/>
                <c:pt idx="0">
                  <c:v>0</c:v>
                </c:pt>
                <c:pt idx="1">
                  <c:v>3.5199390133942826E-2</c:v>
                </c:pt>
                <c:pt idx="2">
                  <c:v>5.7099999999999991E-2</c:v>
                </c:pt>
                <c:pt idx="3">
                  <c:v>5.2566318113407944E-2</c:v>
                </c:pt>
                <c:pt idx="4">
                  <c:v>3.1739831048699679E-2</c:v>
                </c:pt>
                <c:pt idx="5">
                  <c:v>2.0835020073055204E-3</c:v>
                </c:pt>
                <c:pt idx="6">
                  <c:v>3.3300000000000002E-4</c:v>
                </c:pt>
                <c:pt idx="7">
                  <c:v>7.1237029688818784E-3</c:v>
                </c:pt>
                <c:pt idx="8">
                  <c:v>3.4900823772512878E-2</c:v>
                </c:pt>
                <c:pt idx="9">
                  <c:v>5.6695821715537387E-2</c:v>
                </c:pt>
                <c:pt idx="10">
                  <c:v>5.9699999999999996E-2</c:v>
                </c:pt>
                <c:pt idx="11">
                  <c:v>3.7658171062416805E-2</c:v>
                </c:pt>
                <c:pt idx="12">
                  <c:v>1.8757022844650971E-17</c:v>
                </c:pt>
                <c:pt idx="13">
                  <c:v>-3.2921782537040645E-2</c:v>
                </c:pt>
                <c:pt idx="14">
                  <c:v>-5.2600000000000015E-2</c:v>
                </c:pt>
                <c:pt idx="15">
                  <c:v>-4.8896433919049756E-2</c:v>
                </c:pt>
                <c:pt idx="16">
                  <c:v>-2.9159075345422038E-2</c:v>
                </c:pt>
                <c:pt idx="17">
                  <c:v>-1.2489420933917653E-3</c:v>
                </c:pt>
                <c:pt idx="18">
                  <c:v>-2.1100000000000001E-4</c:v>
                </c:pt>
                <c:pt idx="19">
                  <c:v>-1.0316087824767251E-2</c:v>
                </c:pt>
                <c:pt idx="20">
                  <c:v>-3.4970105804815632E-2</c:v>
                </c:pt>
                <c:pt idx="21">
                  <c:v>-5.6724105986784852E-2</c:v>
                </c:pt>
                <c:pt idx="22">
                  <c:v>-6.0050000000000055E-2</c:v>
                </c:pt>
                <c:pt idx="23">
                  <c:v>-3.8564037720275578E-2</c:v>
                </c:pt>
                <c:pt idx="24">
                  <c:v>-3.8224631793148945E-17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8-47CF-9E9E-89135DA2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9231"/>
        <c:axId val="223831151"/>
      </c:scatterChart>
      <c:valAx>
        <c:axId val="223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31151"/>
        <c:crosses val="autoZero"/>
        <c:crossBetween val="midCat"/>
      </c:valAx>
      <c:valAx>
        <c:axId val="2238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(2)'!$AV$4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(2)'!$AU$5:$AU$41</c:f>
              <c:numCache>
                <c:formatCode>0.000</c:formatCode>
                <c:ptCount val="37"/>
                <c:pt idx="0">
                  <c:v>8.1709999999999991E-2</c:v>
                </c:pt>
                <c:pt idx="1">
                  <c:v>6.6764793113100407E-2</c:v>
                </c:pt>
                <c:pt idx="2">
                  <c:v>4.0096976195219507E-2</c:v>
                </c:pt>
                <c:pt idx="3">
                  <c:v>2.8588327163372118E-2</c:v>
                </c:pt>
                <c:pt idx="4">
                  <c:v>2.0255000000000002E-2</c:v>
                </c:pt>
                <c:pt idx="5">
                  <c:v>1.1535564840219349E-2</c:v>
                </c:pt>
                <c:pt idx="6">
                  <c:v>4.2586160292623628E-18</c:v>
                </c:pt>
                <c:pt idx="7">
                  <c:v>-2.0816815797595752E-2</c:v>
                </c:pt>
                <c:pt idx="8">
                  <c:v>-4.6384999999999975E-2</c:v>
                </c:pt>
                <c:pt idx="9">
                  <c:v>-7.8771695424181387E-2</c:v>
                </c:pt>
                <c:pt idx="10">
                  <c:v>-9.119247501850139E-2</c:v>
                </c:pt>
                <c:pt idx="11">
                  <c:v>-8.9348138931738805E-2</c:v>
                </c:pt>
                <c:pt idx="12">
                  <c:v>-8.0079999999999998E-2</c:v>
                </c:pt>
                <c:pt idx="13">
                  <c:v>-6.4011904508176551E-2</c:v>
                </c:pt>
                <c:pt idx="14">
                  <c:v>-3.8416886911877696E-2</c:v>
                </c:pt>
                <c:pt idx="15">
                  <c:v>-2.8637824638055181E-2</c:v>
                </c:pt>
                <c:pt idx="16">
                  <c:v>-2.0165000000000016E-2</c:v>
                </c:pt>
                <c:pt idx="17">
                  <c:v>-1.2374138546351512E-2</c:v>
                </c:pt>
                <c:pt idx="18">
                  <c:v>-1.3643253193862392E-17</c:v>
                </c:pt>
                <c:pt idx="19">
                  <c:v>2.1220573507955639E-2</c:v>
                </c:pt>
                <c:pt idx="20">
                  <c:v>5.1600000000000014E-2</c:v>
                </c:pt>
                <c:pt idx="21">
                  <c:v>8.2095097295758146E-2</c:v>
                </c:pt>
                <c:pt idx="22">
                  <c:v>0.10002593413710263</c:v>
                </c:pt>
                <c:pt idx="23">
                  <c:v>0.10103584142983654</c:v>
                </c:pt>
                <c:pt idx="24">
                  <c:v>8.1549999999999997E-2</c:v>
                </c:pt>
              </c:numCache>
            </c:numRef>
          </c:xVal>
          <c:yVal>
            <c:numRef>
              <c:f>'Sheet2 (2)'!$AV$5:$AV$41</c:f>
              <c:numCache>
                <c:formatCode>0.000</c:formatCode>
                <c:ptCount val="37"/>
                <c:pt idx="0">
                  <c:v>0</c:v>
                </c:pt>
                <c:pt idx="1">
                  <c:v>1.7889572397486234E-2</c:v>
                </c:pt>
                <c:pt idx="2">
                  <c:v>2.3149999999999993E-2</c:v>
                </c:pt>
                <c:pt idx="3">
                  <c:v>2.8588327163372115E-2</c:v>
                </c:pt>
                <c:pt idx="4">
                  <c:v>3.5082689107307607E-2</c:v>
                </c:pt>
                <c:pt idx="5">
                  <c:v>4.3051314077703774E-2</c:v>
                </c:pt>
                <c:pt idx="6">
                  <c:v>6.9519999999999998E-2</c:v>
                </c:pt>
                <c:pt idx="7">
                  <c:v>7.7689414208429772E-2</c:v>
                </c:pt>
                <c:pt idx="8">
                  <c:v>8.0341176709082376E-2</c:v>
                </c:pt>
                <c:pt idx="9">
                  <c:v>7.8771695424181401E-2</c:v>
                </c:pt>
                <c:pt idx="10">
                  <c:v>5.2649999999999988E-2</c:v>
                </c:pt>
                <c:pt idx="11">
                  <c:v>2.3940761671983193E-2</c:v>
                </c:pt>
                <c:pt idx="12">
                  <c:v>9.8109888269082284E-18</c:v>
                </c:pt>
                <c:pt idx="13">
                  <c:v>-1.7151938118944051E-2</c:v>
                </c:pt>
                <c:pt idx="14">
                  <c:v>-2.2180000000000002E-2</c:v>
                </c:pt>
                <c:pt idx="15">
                  <c:v>-2.8637824638055174E-2</c:v>
                </c:pt>
                <c:pt idx="16">
                  <c:v>-3.4926804534626398E-2</c:v>
                </c:pt>
                <c:pt idx="17">
                  <c:v>-4.6180913754880364E-2</c:v>
                </c:pt>
                <c:pt idx="18">
                  <c:v>-7.424E-2</c:v>
                </c:pt>
                <c:pt idx="19">
                  <c:v>-7.9196258497440719E-2</c:v>
                </c:pt>
                <c:pt idx="20">
                  <c:v>-8.9373821670554063E-2</c:v>
                </c:pt>
                <c:pt idx="21">
                  <c:v>-8.2095097295758188E-2</c:v>
                </c:pt>
                <c:pt idx="22">
                  <c:v>-5.7750000000000051E-2</c:v>
                </c:pt>
                <c:pt idx="23">
                  <c:v>-2.7072472117723664E-2</c:v>
                </c:pt>
                <c:pt idx="24">
                  <c:v>-1.9982171299559592E-17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7-4C9F-A0AA-5892023D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4911"/>
        <c:axId val="223829231"/>
      </c:scatterChart>
      <c:valAx>
        <c:axId val="2238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valAx>
        <c:axId val="2238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(2)'!$BD$4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(2)'!$BC$5:$BC$41</c:f>
              <c:numCache>
                <c:formatCode>0.000</c:formatCode>
                <c:ptCount val="37"/>
                <c:pt idx="0">
                  <c:v>8.022E-2</c:v>
                </c:pt>
                <c:pt idx="1">
                  <c:v>7.7370658685754365E-2</c:v>
                </c:pt>
                <c:pt idx="2">
                  <c:v>6.9411936113322761E-2</c:v>
                </c:pt>
                <c:pt idx="3">
                  <c:v>5.6285699782449176E-2</c:v>
                </c:pt>
                <c:pt idx="4">
                  <c:v>3.9370000000000002E-2</c:v>
                </c:pt>
                <c:pt idx="5">
                  <c:v>1.9929066472894098E-2</c:v>
                </c:pt>
                <c:pt idx="6">
                  <c:v>4.5299864120246227E-18</c:v>
                </c:pt>
                <c:pt idx="7">
                  <c:v>-1.8567678295654845E-2</c:v>
                </c:pt>
                <c:pt idx="8">
                  <c:v>-3.5729999999999984E-2</c:v>
                </c:pt>
                <c:pt idx="9">
                  <c:v>-5.2502678503101148E-2</c:v>
                </c:pt>
                <c:pt idx="10">
                  <c:v>-6.659735355102335E-2</c:v>
                </c:pt>
                <c:pt idx="11">
                  <c:v>-7.6201888435944595E-2</c:v>
                </c:pt>
                <c:pt idx="12">
                  <c:v>-7.979E-2</c:v>
                </c:pt>
                <c:pt idx="13">
                  <c:v>-7.7061562421341878E-2</c:v>
                </c:pt>
                <c:pt idx="14">
                  <c:v>-6.9134807984111729E-2</c:v>
                </c:pt>
                <c:pt idx="15">
                  <c:v>-5.6045283476845779E-2</c:v>
                </c:pt>
                <c:pt idx="16">
                  <c:v>-3.9150000000000032E-2</c:v>
                </c:pt>
                <c:pt idx="17">
                  <c:v>-1.9843656188010258E-2</c:v>
                </c:pt>
                <c:pt idx="18">
                  <c:v>-1.3648766361909482E-17</c:v>
                </c:pt>
                <c:pt idx="19">
                  <c:v>1.9450251239454402E-2</c:v>
                </c:pt>
                <c:pt idx="20">
                  <c:v>3.7855000000000007E-2</c:v>
                </c:pt>
                <c:pt idx="21">
                  <c:v>5.4263374388255639E-2</c:v>
                </c:pt>
                <c:pt idx="22">
                  <c:v>6.8580551725689678E-2</c:v>
                </c:pt>
                <c:pt idx="23">
                  <c:v>7.7264406844862563E-2</c:v>
                </c:pt>
                <c:pt idx="24">
                  <c:v>8.0159999999999995E-2</c:v>
                </c:pt>
              </c:numCache>
            </c:numRef>
          </c:xVal>
          <c:yVal>
            <c:numRef>
              <c:f>'Sheet2 (2)'!$BD$5:$BD$41</c:f>
              <c:numCache>
                <c:formatCode>0.000</c:formatCode>
                <c:ptCount val="37"/>
                <c:pt idx="0">
                  <c:v>0</c:v>
                </c:pt>
                <c:pt idx="1">
                  <c:v>2.0731405512711909E-2</c:v>
                </c:pt>
                <c:pt idx="2">
                  <c:v>4.0074999999999993E-2</c:v>
                </c:pt>
                <c:pt idx="3">
                  <c:v>5.6285699782449169E-2</c:v>
                </c:pt>
                <c:pt idx="4">
                  <c:v>6.8190840293986685E-2</c:v>
                </c:pt>
                <c:pt idx="5">
                  <c:v>7.4376288624258255E-2</c:v>
                </c:pt>
                <c:pt idx="6">
                  <c:v>7.3950000000000002E-2</c:v>
                </c:pt>
                <c:pt idx="7">
                  <c:v>6.9295518777977766E-2</c:v>
                </c:pt>
                <c:pt idx="8">
                  <c:v>6.1886175354435989E-2</c:v>
                </c:pt>
                <c:pt idx="9">
                  <c:v>5.2502678503101155E-2</c:v>
                </c:pt>
                <c:pt idx="10">
                  <c:v>3.8449999999999998E-2</c:v>
                </c:pt>
                <c:pt idx="11">
                  <c:v>2.0418234468137883E-2</c:v>
                </c:pt>
                <c:pt idx="12">
                  <c:v>9.7754595217158792E-18</c:v>
                </c:pt>
                <c:pt idx="13">
                  <c:v>-2.0648583418279111E-2</c:v>
                </c:pt>
                <c:pt idx="14">
                  <c:v>-3.9915000000000006E-2</c:v>
                </c:pt>
                <c:pt idx="15">
                  <c:v>-5.6045283476845759E-2</c:v>
                </c:pt>
                <c:pt idx="16">
                  <c:v>-6.7809789116321517E-2</c:v>
                </c:pt>
                <c:pt idx="17">
                  <c:v>-7.4057533101582876E-2</c:v>
                </c:pt>
                <c:pt idx="18">
                  <c:v>-7.4270000000000003E-2</c:v>
                </c:pt>
                <c:pt idx="19">
                  <c:v>-7.2589325845623498E-2</c:v>
                </c:pt>
                <c:pt idx="20">
                  <c:v>-6.556678332051985E-2</c:v>
                </c:pt>
                <c:pt idx="21">
                  <c:v>-5.426337438825566E-2</c:v>
                </c:pt>
                <c:pt idx="22">
                  <c:v>-3.9595000000000033E-2</c:v>
                </c:pt>
                <c:pt idx="23">
                  <c:v>-2.0702935417750628E-2</c:v>
                </c:pt>
                <c:pt idx="24">
                  <c:v>-1.9641580029094995E-17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1-49F4-B2A1-B0C6035D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6635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66351"/>
        <c:crosses val="autoZero"/>
        <c:crossBetween val="midCat"/>
      </c:valAx>
      <c:valAx>
        <c:axId val="2237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(2)'!$BL$4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(2)'!$BK$5:$BK$41</c:f>
              <c:numCache>
                <c:formatCode>0.000</c:formatCode>
                <c:ptCount val="37"/>
                <c:pt idx="0">
                  <c:v>0.11509999999999999</c:v>
                </c:pt>
                <c:pt idx="1">
                  <c:v>0.1158145065720593</c:v>
                </c:pt>
                <c:pt idx="2">
                  <c:v>0.10323022813110509</c:v>
                </c:pt>
                <c:pt idx="3">
                  <c:v>7.8700984746062741E-2</c:v>
                </c:pt>
                <c:pt idx="4">
                  <c:v>4.0305000000000007E-2</c:v>
                </c:pt>
                <c:pt idx="5">
                  <c:v>1.6422068411754944E-2</c:v>
                </c:pt>
                <c:pt idx="6">
                  <c:v>2.4723495820055952E-18</c:v>
                </c:pt>
                <c:pt idx="7">
                  <c:v>-9.1906642915905151E-3</c:v>
                </c:pt>
                <c:pt idx="8">
                  <c:v>-1.8489999999999993E-2</c:v>
                </c:pt>
                <c:pt idx="9">
                  <c:v>-2.8963093757400988E-2</c:v>
                </c:pt>
                <c:pt idx="10">
                  <c:v>-5.9080253046174411E-2</c:v>
                </c:pt>
                <c:pt idx="11">
                  <c:v>-8.0490599104668048E-2</c:v>
                </c:pt>
                <c:pt idx="12">
                  <c:v>-0.111</c:v>
                </c:pt>
                <c:pt idx="13">
                  <c:v>-0.11465539558051241</c:v>
                </c:pt>
                <c:pt idx="14">
                  <c:v>-0.10193119002542843</c:v>
                </c:pt>
                <c:pt idx="15">
                  <c:v>-7.0639967440536119E-2</c:v>
                </c:pt>
                <c:pt idx="16">
                  <c:v>-4.0005000000000041E-2</c:v>
                </c:pt>
                <c:pt idx="17">
                  <c:v>-1.4263517575599911E-2</c:v>
                </c:pt>
                <c:pt idx="18">
                  <c:v>-7.2939213262984682E-18</c:v>
                </c:pt>
                <c:pt idx="19">
                  <c:v>9.4106604799276371E-3</c:v>
                </c:pt>
                <c:pt idx="20">
                  <c:v>1.8785000000000003E-2</c:v>
                </c:pt>
                <c:pt idx="21">
                  <c:v>2.9359073554865448E-2</c:v>
                </c:pt>
                <c:pt idx="22">
                  <c:v>6.0786323091629735E-2</c:v>
                </c:pt>
                <c:pt idx="23">
                  <c:v>8.3108258093911438E-2</c:v>
                </c:pt>
                <c:pt idx="24">
                  <c:v>0.1169</c:v>
                </c:pt>
              </c:numCache>
            </c:numRef>
          </c:xVal>
          <c:yVal>
            <c:numRef>
              <c:f>'Sheet2 (2)'!$BL$5:$BL$41</c:f>
              <c:numCache>
                <c:formatCode>0.000</c:formatCode>
                <c:ptCount val="37"/>
                <c:pt idx="0">
                  <c:v>0</c:v>
                </c:pt>
                <c:pt idx="1">
                  <c:v>3.1032403507792239E-2</c:v>
                </c:pt>
                <c:pt idx="2">
                  <c:v>5.9599999999999993E-2</c:v>
                </c:pt>
                <c:pt idx="3">
                  <c:v>7.8700984746062727E-2</c:v>
                </c:pt>
                <c:pt idx="4">
                  <c:v>6.9810307799063595E-2</c:v>
                </c:pt>
                <c:pt idx="5">
                  <c:v>6.1287993678041393E-2</c:v>
                </c:pt>
                <c:pt idx="6">
                  <c:v>4.036E-2</c:v>
                </c:pt>
                <c:pt idx="7">
                  <c:v>3.4300026091524813E-2</c:v>
                </c:pt>
                <c:pt idx="8">
                  <c:v>3.2025619431948545E-2</c:v>
                </c:pt>
                <c:pt idx="9">
                  <c:v>2.8963093757400991E-2</c:v>
                </c:pt>
                <c:pt idx="10">
                  <c:v>3.4109999999999994E-2</c:v>
                </c:pt>
                <c:pt idx="11">
                  <c:v>2.1567391028393078E-2</c:v>
                </c:pt>
                <c:pt idx="12">
                  <c:v>1.3599147849485683E-17</c:v>
                </c:pt>
                <c:pt idx="13">
                  <c:v>-3.072182065366922E-2</c:v>
                </c:pt>
                <c:pt idx="14">
                  <c:v>-5.8850000000000013E-2</c:v>
                </c:pt>
                <c:pt idx="15">
                  <c:v>-7.0639967440536092E-2</c:v>
                </c:pt>
                <c:pt idx="16">
                  <c:v>-6.9290692556792918E-2</c:v>
                </c:pt>
                <c:pt idx="17">
                  <c:v>-5.3232172286790551E-2</c:v>
                </c:pt>
                <c:pt idx="18">
                  <c:v>-3.9689999999999996E-2</c:v>
                </c:pt>
                <c:pt idx="19">
                  <c:v>-3.5121063043870526E-2</c:v>
                </c:pt>
                <c:pt idx="20">
                  <c:v>-3.2536574420181361E-2</c:v>
                </c:pt>
                <c:pt idx="21">
                  <c:v>-2.9359073554865462E-2</c:v>
                </c:pt>
                <c:pt idx="22">
                  <c:v>-3.5095000000000029E-2</c:v>
                </c:pt>
                <c:pt idx="23">
                  <c:v>-2.2268790640620879E-2</c:v>
                </c:pt>
                <c:pt idx="24">
                  <c:v>-2.8643970875763538E-17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C-4EF4-805E-54D3EF880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7787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7871"/>
        <c:crosses val="autoZero"/>
        <c:crossBetween val="midCat"/>
      </c:valAx>
      <c:valAx>
        <c:axId val="2237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(2)'!$BQ$4</c:f>
              <c:strCache>
                <c:ptCount val="1"/>
                <c:pt idx="0">
                  <c:v>I (mV)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(2)'!$BG$5:$BG$41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(2)'!$BQ$5:$BQ$41</c:f>
              <c:numCache>
                <c:formatCode>0.0</c:formatCode>
                <c:ptCount val="37"/>
                <c:pt idx="0">
                  <c:v>159</c:v>
                </c:pt>
                <c:pt idx="1">
                  <c:v>128.6</c:v>
                </c:pt>
                <c:pt idx="2" formatCode="0.00">
                  <c:v>94.66</c:v>
                </c:pt>
                <c:pt idx="3" formatCode="0.00">
                  <c:v>50.48</c:v>
                </c:pt>
                <c:pt idx="4" formatCode="0.00">
                  <c:v>12.11</c:v>
                </c:pt>
                <c:pt idx="5" formatCode="0.000">
                  <c:v>3.2000000000000001E-2</c:v>
                </c:pt>
                <c:pt idx="6" formatCode="0.000">
                  <c:v>7.6999999999999999E-2</c:v>
                </c:pt>
                <c:pt idx="7" formatCode="0.00">
                  <c:v>14.71</c:v>
                </c:pt>
                <c:pt idx="8" formatCode="0.00">
                  <c:v>50.17</c:v>
                </c:pt>
                <c:pt idx="9" formatCode="0.00">
                  <c:v>90.4</c:v>
                </c:pt>
                <c:pt idx="10">
                  <c:v>124.2</c:v>
                </c:pt>
                <c:pt idx="11">
                  <c:v>155.30000000000001</c:v>
                </c:pt>
                <c:pt idx="12">
                  <c:v>153.9</c:v>
                </c:pt>
                <c:pt idx="13">
                  <c:v>121.4</c:v>
                </c:pt>
                <c:pt idx="14" formatCode="0.00">
                  <c:v>84.81</c:v>
                </c:pt>
                <c:pt idx="15" formatCode="0.00">
                  <c:v>44.26</c:v>
                </c:pt>
                <c:pt idx="16" formatCode="0.000">
                  <c:v>8.85</c:v>
                </c:pt>
                <c:pt idx="17" formatCode="0.000">
                  <c:v>7.0000000000000007E-2</c:v>
                </c:pt>
                <c:pt idx="18" formatCode="0.000">
                  <c:v>0.17299999999999999</c:v>
                </c:pt>
                <c:pt idx="19" formatCode="0.00">
                  <c:v>16.28</c:v>
                </c:pt>
                <c:pt idx="20" formatCode="0.00">
                  <c:v>45.44</c:v>
                </c:pt>
                <c:pt idx="21" formatCode="0.00">
                  <c:v>88.48</c:v>
                </c:pt>
                <c:pt idx="22">
                  <c:v>122.9</c:v>
                </c:pt>
                <c:pt idx="23">
                  <c:v>154.4</c:v>
                </c:pt>
                <c:pt idx="24">
                  <c:v>150.5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F3-43DA-B84D-6CF212CF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(2)'!$BT$4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(2)'!$BS$5:$BS$29</c:f>
              <c:numCache>
                <c:formatCode>0.000</c:formatCode>
                <c:ptCount val="25"/>
                <c:pt idx="0">
                  <c:v>0.159</c:v>
                </c:pt>
                <c:pt idx="1">
                  <c:v>0.12421806126077417</c:v>
                </c:pt>
                <c:pt idx="2">
                  <c:v>8.1977964722234967E-2</c:v>
                </c:pt>
                <c:pt idx="3">
                  <c:v>3.5694750314296919E-2</c:v>
                </c:pt>
                <c:pt idx="4">
                  <c:v>6.0550000000000014E-3</c:v>
                </c:pt>
                <c:pt idx="5">
                  <c:v>8.2822094432806641E-6</c:v>
                </c:pt>
                <c:pt idx="6">
                  <c:v>4.7168215513981873E-21</c:v>
                </c:pt>
                <c:pt idx="7">
                  <c:v>-3.8072281534580819E-3</c:v>
                </c:pt>
                <c:pt idx="8">
                  <c:v>-2.5084999999999989E-2</c:v>
                </c:pt>
                <c:pt idx="9">
                  <c:v>-6.39224530192639E-2</c:v>
                </c:pt>
                <c:pt idx="10">
                  <c:v>-0.10756035515002729</c:v>
                </c:pt>
                <c:pt idx="11">
                  <c:v>-0.15000828082269232</c:v>
                </c:pt>
                <c:pt idx="12">
                  <c:v>-0.15390000000000001</c:v>
                </c:pt>
                <c:pt idx="13">
                  <c:v>-0.11726339531149291</c:v>
                </c:pt>
                <c:pt idx="14">
                  <c:v>-7.3447614494958235E-2</c:v>
                </c:pt>
                <c:pt idx="15">
                  <c:v>-3.12965461353166E-2</c:v>
                </c:pt>
                <c:pt idx="16">
                  <c:v>-4.4250000000000045E-3</c:v>
                </c:pt>
                <c:pt idx="17">
                  <c:v>-1.8117333157176447E-5</c:v>
                </c:pt>
                <c:pt idx="18">
                  <c:v>-3.1792602404878686E-20</c:v>
                </c:pt>
                <c:pt idx="19">
                  <c:v>4.2135740542690314E-3</c:v>
                </c:pt>
                <c:pt idx="20">
                  <c:v>2.2720000000000001E-2</c:v>
                </c:pt>
                <c:pt idx="21">
                  <c:v>6.2564807999385713E-2</c:v>
                </c:pt>
                <c:pt idx="22">
                  <c:v>0.10643452212510748</c:v>
                </c:pt>
                <c:pt idx="23">
                  <c:v>0.14913894757903215</c:v>
                </c:pt>
                <c:pt idx="24">
                  <c:v>0.15049999999999999</c:v>
                </c:pt>
              </c:numCache>
            </c:numRef>
          </c:xVal>
          <c:yVal>
            <c:numRef>
              <c:f>'Sheet2 (2)'!$BT$5:$BT$29</c:f>
              <c:numCache>
                <c:formatCode>0.000</c:formatCode>
                <c:ptCount val="25"/>
                <c:pt idx="0">
                  <c:v>0</c:v>
                </c:pt>
                <c:pt idx="1">
                  <c:v>3.3284129200184163E-2</c:v>
                </c:pt>
                <c:pt idx="2">
                  <c:v>4.732999999999999E-2</c:v>
                </c:pt>
                <c:pt idx="3">
                  <c:v>3.5694750314296912E-2</c:v>
                </c:pt>
                <c:pt idx="4">
                  <c:v>1.048756763982955E-2</c:v>
                </c:pt>
                <c:pt idx="5">
                  <c:v>3.0909626441250183E-5</c:v>
                </c:pt>
                <c:pt idx="6">
                  <c:v>7.7000000000000001E-5</c:v>
                </c:pt>
                <c:pt idx="7">
                  <c:v>1.4208768904712196E-2</c:v>
                </c:pt>
                <c:pt idx="8">
                  <c:v>4.3448494507865289E-2</c:v>
                </c:pt>
                <c:pt idx="9">
                  <c:v>6.39224530192639E-2</c:v>
                </c:pt>
                <c:pt idx="10">
                  <c:v>6.2099999999999995E-2</c:v>
                </c:pt>
                <c:pt idx="11">
                  <c:v>4.019459770442152E-2</c:v>
                </c:pt>
                <c:pt idx="12">
                  <c:v>1.8855034721043663E-17</c:v>
                </c:pt>
                <c:pt idx="13">
                  <c:v>-3.1420632075446028E-2</c:v>
                </c:pt>
                <c:pt idx="14">
                  <c:v>-4.2405000000000005E-2</c:v>
                </c:pt>
                <c:pt idx="15">
                  <c:v>-3.1296546135316593E-2</c:v>
                </c:pt>
                <c:pt idx="16">
                  <c:v>-7.6643248234922797E-3</c:v>
                </c:pt>
                <c:pt idx="17">
                  <c:v>-6.7614807840234791E-5</c:v>
                </c:pt>
                <c:pt idx="18">
                  <c:v>-1.7299999999999998E-4</c:v>
                </c:pt>
                <c:pt idx="19">
                  <c:v>-1.5725272451986037E-2</c:v>
                </c:pt>
                <c:pt idx="20">
                  <c:v>-3.9352194347964886E-2</c:v>
                </c:pt>
                <c:pt idx="21">
                  <c:v>-6.2564807999385741E-2</c:v>
                </c:pt>
                <c:pt idx="22">
                  <c:v>-6.145000000000006E-2</c:v>
                </c:pt>
                <c:pt idx="23">
                  <c:v>-3.9961660563829195E-2</c:v>
                </c:pt>
                <c:pt idx="24">
                  <c:v>-3.6876968492749462E-17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5-45BF-8113-71A4D361B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84719"/>
        <c:axId val="1805891439"/>
      </c:scatterChart>
      <c:valAx>
        <c:axId val="18058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5891439"/>
        <c:crosses val="autoZero"/>
        <c:crossBetween val="midCat"/>
      </c:valAx>
      <c:valAx>
        <c:axId val="180589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58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(2)'!$BY$4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(2)'!$BW$5:$BW$29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(2)'!$BY$5:$BY$29</c:f>
              <c:numCache>
                <c:formatCode>0.0</c:formatCode>
                <c:ptCount val="25"/>
                <c:pt idx="0">
                  <c:v>155.5</c:v>
                </c:pt>
                <c:pt idx="1">
                  <c:v>129.30000000000001</c:v>
                </c:pt>
                <c:pt idx="2">
                  <c:v>107.6</c:v>
                </c:pt>
                <c:pt idx="3">
                  <c:v>61.41</c:v>
                </c:pt>
                <c:pt idx="4">
                  <c:v>24.21</c:v>
                </c:pt>
                <c:pt idx="5" formatCode="0.000">
                  <c:v>0.33300000000000002</c:v>
                </c:pt>
                <c:pt idx="6" formatCode="0.000">
                  <c:v>0.09</c:v>
                </c:pt>
                <c:pt idx="7" formatCode="0.000">
                  <c:v>8.6020000000000003</c:v>
                </c:pt>
                <c:pt idx="8">
                  <c:v>41.73</c:v>
                </c:pt>
                <c:pt idx="9">
                  <c:v>84.63</c:v>
                </c:pt>
                <c:pt idx="10">
                  <c:v>121.4</c:v>
                </c:pt>
                <c:pt idx="11">
                  <c:v>153.6</c:v>
                </c:pt>
                <c:pt idx="12">
                  <c:v>157.1</c:v>
                </c:pt>
                <c:pt idx="13">
                  <c:v>131.19999999999999</c:v>
                </c:pt>
                <c:pt idx="14">
                  <c:v>96.36</c:v>
                </c:pt>
                <c:pt idx="15">
                  <c:v>55.14</c:v>
                </c:pt>
                <c:pt idx="16">
                  <c:v>22.66</c:v>
                </c:pt>
                <c:pt idx="17" formatCode="0.000">
                  <c:v>0.192</c:v>
                </c:pt>
                <c:pt idx="18" formatCode="0.000">
                  <c:v>7.6999999999999999E-2</c:v>
                </c:pt>
                <c:pt idx="19">
                  <c:v>13.06</c:v>
                </c:pt>
                <c:pt idx="20">
                  <c:v>43.42</c:v>
                </c:pt>
                <c:pt idx="21">
                  <c:v>85.16</c:v>
                </c:pt>
                <c:pt idx="22">
                  <c:v>121.1</c:v>
                </c:pt>
                <c:pt idx="23">
                  <c:v>153.6</c:v>
                </c:pt>
                <c:pt idx="24">
                  <c:v>157.69999999999999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4-4012-820A-7129B752D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22575"/>
        <c:axId val="1831409615"/>
      </c:scatterChart>
      <c:valAx>
        <c:axId val="183142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1409615"/>
        <c:crosses val="autoZero"/>
        <c:crossBetween val="midCat"/>
      </c:valAx>
      <c:valAx>
        <c:axId val="18314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142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(2)'!$CB$4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(2)'!$CA$5:$CA$29</c:f>
              <c:numCache>
                <c:formatCode>0.000</c:formatCode>
                <c:ptCount val="25"/>
                <c:pt idx="0">
                  <c:v>0.1555</c:v>
                </c:pt>
                <c:pt idx="1">
                  <c:v>0.12489420933917653</c:v>
                </c:pt>
                <c:pt idx="2">
                  <c:v>9.31843334472056E-2</c:v>
                </c:pt>
                <c:pt idx="3">
                  <c:v>4.3423427432665883E-2</c:v>
                </c:pt>
                <c:pt idx="4">
                  <c:v>1.2105000000000005E-2</c:v>
                </c:pt>
                <c:pt idx="5">
                  <c:v>8.6186742019139415E-5</c:v>
                </c:pt>
                <c:pt idx="6">
                  <c:v>5.5131680470887892E-21</c:v>
                </c:pt>
                <c:pt idx="7">
                  <c:v>-2.2263614259718846E-3</c:v>
                </c:pt>
                <c:pt idx="8">
                  <c:v>-2.0864999999999988E-2</c:v>
                </c:pt>
                <c:pt idx="9">
                  <c:v>-5.9842446891817509E-2</c:v>
                </c:pt>
                <c:pt idx="10">
                  <c:v>-0.10513548401943086</c:v>
                </c:pt>
                <c:pt idx="11">
                  <c:v>-0.14836620691800087</c:v>
                </c:pt>
                <c:pt idx="12">
                  <c:v>-0.15709999999999999</c:v>
                </c:pt>
                <c:pt idx="13">
                  <c:v>-0.12672946840912575</c:v>
                </c:pt>
                <c:pt idx="14">
                  <c:v>-8.34502079086685E-2</c:v>
                </c:pt>
                <c:pt idx="15">
                  <c:v>-3.898986791462624E-2</c:v>
                </c:pt>
                <c:pt idx="16">
                  <c:v>-1.133000000000001E-2</c:v>
                </c:pt>
                <c:pt idx="17">
                  <c:v>-4.9693256659683964E-5</c:v>
                </c:pt>
                <c:pt idx="18">
                  <c:v>-1.415046465419456E-20</c:v>
                </c:pt>
                <c:pt idx="19">
                  <c:v>3.3801767290389151E-3</c:v>
                </c:pt>
                <c:pt idx="20">
                  <c:v>2.1710000000000004E-2</c:v>
                </c:pt>
                <c:pt idx="21">
                  <c:v>6.0217213485846369E-2</c:v>
                </c:pt>
                <c:pt idx="22">
                  <c:v>0.10487567639829548</c:v>
                </c:pt>
                <c:pt idx="23">
                  <c:v>0.14836620691800087</c:v>
                </c:pt>
                <c:pt idx="24">
                  <c:v>0.15769999999999998</c:v>
                </c:pt>
              </c:numCache>
            </c:numRef>
          </c:xVal>
          <c:yVal>
            <c:numRef>
              <c:f>'Sheet2 (2)'!$CB$5:$CB$29</c:f>
              <c:numCache>
                <c:formatCode>0.000</c:formatCode>
                <c:ptCount val="25"/>
                <c:pt idx="0">
                  <c:v>0</c:v>
                </c:pt>
                <c:pt idx="1">
                  <c:v>3.3465302531755933E-2</c:v>
                </c:pt>
                <c:pt idx="2">
                  <c:v>5.3799999999999994E-2</c:v>
                </c:pt>
                <c:pt idx="3">
                  <c:v>4.3423427432665876E-2</c:v>
                </c:pt>
                <c:pt idx="4">
                  <c:v>2.096647502562126E-2</c:v>
                </c:pt>
                <c:pt idx="5">
                  <c:v>3.2165330015425977E-4</c:v>
                </c:pt>
                <c:pt idx="6">
                  <c:v>8.9999999999999992E-5</c:v>
                </c:pt>
                <c:pt idx="7">
                  <c:v>8.308893957738565E-3</c:v>
                </c:pt>
                <c:pt idx="8">
                  <c:v>3.6139240099924627E-2</c:v>
                </c:pt>
                <c:pt idx="9">
                  <c:v>5.9842446891817516E-2</c:v>
                </c:pt>
                <c:pt idx="10">
                  <c:v>6.0699999999999997E-2</c:v>
                </c:pt>
                <c:pt idx="11">
                  <c:v>3.9754605327747224E-2</c:v>
                </c:pt>
                <c:pt idx="12">
                  <c:v>1.924708222661442E-17</c:v>
                </c:pt>
                <c:pt idx="13">
                  <c:v>-3.3957058717450722E-2</c:v>
                </c:pt>
                <c:pt idx="14">
                  <c:v>-4.8180000000000014E-2</c:v>
                </c:pt>
                <c:pt idx="15">
                  <c:v>-3.8989867914626226E-2</c:v>
                </c:pt>
                <c:pt idx="16">
                  <c:v>-1.9624135649755372E-2</c:v>
                </c:pt>
                <c:pt idx="17">
                  <c:v>-1.8545775864750111E-4</c:v>
                </c:pt>
                <c:pt idx="18">
                  <c:v>-7.7000000000000001E-5</c:v>
                </c:pt>
                <c:pt idx="19">
                  <c:v>-1.2614991291335234E-2</c:v>
                </c:pt>
                <c:pt idx="20">
                  <c:v>-3.7602823032320327E-2</c:v>
                </c:pt>
                <c:pt idx="21">
                  <c:v>-6.0217213485846403E-2</c:v>
                </c:pt>
                <c:pt idx="22">
                  <c:v>-6.0550000000000055E-2</c:v>
                </c:pt>
                <c:pt idx="23">
                  <c:v>-3.9754605327747175E-2</c:v>
                </c:pt>
                <c:pt idx="24">
                  <c:v>-3.8641182267817868E-17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1-4482-8A61-7C472DC32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001423"/>
        <c:axId val="1838006703"/>
      </c:scatterChart>
      <c:valAx>
        <c:axId val="183800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8006703"/>
        <c:crosses val="autoZero"/>
        <c:crossBetween val="midCat"/>
      </c:valAx>
      <c:valAx>
        <c:axId val="18380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800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(3)'!$E$4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(3)'!$C$5:$C$41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(3)'!$E$5:$E$41</c:f>
              <c:numCache>
                <c:formatCode>0.0</c:formatCode>
                <c:ptCount val="37"/>
                <c:pt idx="0">
                  <c:v>160.30000000000001</c:v>
                </c:pt>
                <c:pt idx="1">
                  <c:v>150.30000000000001</c:v>
                </c:pt>
                <c:pt idx="2">
                  <c:v>118.6</c:v>
                </c:pt>
                <c:pt idx="3" formatCode="0.00">
                  <c:v>77.48</c:v>
                </c:pt>
                <c:pt idx="4" formatCode="0.00">
                  <c:v>38.090000000000003</c:v>
                </c:pt>
                <c:pt idx="5" formatCode="0.000">
                  <c:v>2.17</c:v>
                </c:pt>
                <c:pt idx="6" formatCode="0.000">
                  <c:v>0.378</c:v>
                </c:pt>
                <c:pt idx="7" formatCode="0.00">
                  <c:v>11.19</c:v>
                </c:pt>
                <c:pt idx="8" formatCode="0.00">
                  <c:v>41.47</c:v>
                </c:pt>
                <c:pt idx="9" formatCode="0.00">
                  <c:v>81.08</c:v>
                </c:pt>
                <c:pt idx="10">
                  <c:v>121</c:v>
                </c:pt>
                <c:pt idx="11">
                  <c:v>154.19999999999999</c:v>
                </c:pt>
                <c:pt idx="12">
                  <c:v>160</c:v>
                </c:pt>
                <c:pt idx="13">
                  <c:v>147.69999999999999</c:v>
                </c:pt>
                <c:pt idx="14">
                  <c:v>116.2</c:v>
                </c:pt>
                <c:pt idx="15" formatCode="0.00">
                  <c:v>77.61</c:v>
                </c:pt>
                <c:pt idx="16" formatCode="0.00">
                  <c:v>36.770000000000003</c:v>
                </c:pt>
                <c:pt idx="17" formatCode="0.000">
                  <c:v>2.669</c:v>
                </c:pt>
                <c:pt idx="18" formatCode="0.000">
                  <c:v>0.48</c:v>
                </c:pt>
                <c:pt idx="19" formatCode="0.00">
                  <c:v>10.75</c:v>
                </c:pt>
                <c:pt idx="20" formatCode="0.00">
                  <c:v>40.81</c:v>
                </c:pt>
                <c:pt idx="21" formatCode="0.00">
                  <c:v>81.97</c:v>
                </c:pt>
                <c:pt idx="22">
                  <c:v>122.1</c:v>
                </c:pt>
                <c:pt idx="23">
                  <c:v>158.19999999999999</c:v>
                </c:pt>
                <c:pt idx="24">
                  <c:v>160.1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8-4FF8-AFB5-F48533897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5723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232"/>
        <c:crosses val="autoZero"/>
        <c:crossBetween val="midCat"/>
      </c:valAx>
      <c:valAx>
        <c:axId val="3228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(3)'!$M$4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(3)'!$K$5:$K$41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(3)'!$M$5:$M$41</c:f>
              <c:numCache>
                <c:formatCode>0.0</c:formatCode>
                <c:ptCount val="37"/>
                <c:pt idx="0">
                  <c:v>117.4</c:v>
                </c:pt>
                <c:pt idx="1">
                  <c:v>120.1</c:v>
                </c:pt>
                <c:pt idx="2">
                  <c:v>119.9</c:v>
                </c:pt>
                <c:pt idx="3">
                  <c:v>112.8</c:v>
                </c:pt>
                <c:pt idx="4" formatCode="0.00">
                  <c:v>87.72</c:v>
                </c:pt>
                <c:pt idx="5" formatCode="0.00">
                  <c:v>75.03</c:v>
                </c:pt>
                <c:pt idx="6" formatCode="0.00">
                  <c:v>41.63</c:v>
                </c:pt>
                <c:pt idx="7" formatCode="0.00">
                  <c:v>38.090000000000003</c:v>
                </c:pt>
                <c:pt idx="8" formatCode="0.00">
                  <c:v>37.21</c:v>
                </c:pt>
                <c:pt idx="9" formatCode="0.00">
                  <c:v>41.11</c:v>
                </c:pt>
                <c:pt idx="10" formatCode="0.00">
                  <c:v>69.13</c:v>
                </c:pt>
                <c:pt idx="11" formatCode="0.00">
                  <c:v>82.11</c:v>
                </c:pt>
                <c:pt idx="12">
                  <c:v>116.9</c:v>
                </c:pt>
                <c:pt idx="13">
                  <c:v>120.4</c:v>
                </c:pt>
                <c:pt idx="14">
                  <c:v>119.2</c:v>
                </c:pt>
                <c:pt idx="15">
                  <c:v>117</c:v>
                </c:pt>
                <c:pt idx="16" formatCode="0.00">
                  <c:v>83.11</c:v>
                </c:pt>
                <c:pt idx="17" formatCode="0.00">
                  <c:v>68.430000000000007</c:v>
                </c:pt>
                <c:pt idx="18" formatCode="0.00">
                  <c:v>41.41</c:v>
                </c:pt>
                <c:pt idx="19" formatCode="0.00">
                  <c:v>37.11</c:v>
                </c:pt>
                <c:pt idx="20" formatCode="0.00">
                  <c:v>37.590000000000003</c:v>
                </c:pt>
                <c:pt idx="21" formatCode="0.00">
                  <c:v>42.2</c:v>
                </c:pt>
                <c:pt idx="22" formatCode="0.00">
                  <c:v>69.7</c:v>
                </c:pt>
                <c:pt idx="23" formatCode="0.00">
                  <c:v>83.24</c:v>
                </c:pt>
                <c:pt idx="24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A-4DF1-B167-A3658CB44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72592"/>
        <c:axId val="322868752"/>
      </c:scatterChart>
      <c:valAx>
        <c:axId val="3228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68752"/>
        <c:crosses val="autoZero"/>
        <c:crossBetween val="midCat"/>
      </c:valAx>
      <c:valAx>
        <c:axId val="3228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(3)'!$U$4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(3)'!$S$5:$S$29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(3)'!$U$5:$U$29</c:f>
              <c:numCache>
                <c:formatCode>0.00</c:formatCode>
                <c:ptCount val="25"/>
                <c:pt idx="0">
                  <c:v>81.819999999999993</c:v>
                </c:pt>
                <c:pt idx="1">
                  <c:v>83.63</c:v>
                </c:pt>
                <c:pt idx="2">
                  <c:v>82.12</c:v>
                </c:pt>
                <c:pt idx="3">
                  <c:v>80.36</c:v>
                </c:pt>
                <c:pt idx="4">
                  <c:v>79.260000000000005</c:v>
                </c:pt>
                <c:pt idx="5">
                  <c:v>78.45</c:v>
                </c:pt>
                <c:pt idx="6">
                  <c:v>75.650000000000006</c:v>
                </c:pt>
                <c:pt idx="7">
                  <c:v>71.12</c:v>
                </c:pt>
                <c:pt idx="8">
                  <c:v>69.34</c:v>
                </c:pt>
                <c:pt idx="9">
                  <c:v>74.02</c:v>
                </c:pt>
                <c:pt idx="10">
                  <c:v>78.48</c:v>
                </c:pt>
                <c:pt idx="11">
                  <c:v>79.989999999999995</c:v>
                </c:pt>
                <c:pt idx="12">
                  <c:v>82.2</c:v>
                </c:pt>
                <c:pt idx="13">
                  <c:v>81.39</c:v>
                </c:pt>
                <c:pt idx="14">
                  <c:v>82.37</c:v>
                </c:pt>
                <c:pt idx="15">
                  <c:v>81.180000000000007</c:v>
                </c:pt>
                <c:pt idx="16">
                  <c:v>78.78</c:v>
                </c:pt>
                <c:pt idx="17">
                  <c:v>77.11</c:v>
                </c:pt>
                <c:pt idx="18">
                  <c:v>71.760000000000005</c:v>
                </c:pt>
                <c:pt idx="19">
                  <c:v>69.400000000000006</c:v>
                </c:pt>
                <c:pt idx="20">
                  <c:v>72.239999999999995</c:v>
                </c:pt>
                <c:pt idx="21">
                  <c:v>77.11</c:v>
                </c:pt>
                <c:pt idx="22">
                  <c:v>79.67</c:v>
                </c:pt>
                <c:pt idx="23">
                  <c:v>81.5</c:v>
                </c:pt>
                <c:pt idx="24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A-4C5D-834B-280A07E44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57712"/>
        <c:axId val="322871152"/>
      </c:scatterChart>
      <c:valAx>
        <c:axId val="3228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71152"/>
        <c:crosses val="autoZero"/>
        <c:crossBetween val="midCat"/>
      </c:valAx>
      <c:valAx>
        <c:axId val="3228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(3)'!$AC$4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(3)'!$AA$5:$AA$41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(3)'!$AC$5:$AC$41</c:f>
              <c:numCache>
                <c:formatCode>0.00</c:formatCode>
                <c:ptCount val="37"/>
                <c:pt idx="0" formatCode="0.0">
                  <c:v>102.1</c:v>
                </c:pt>
                <c:pt idx="1">
                  <c:v>81.11</c:v>
                </c:pt>
                <c:pt idx="2">
                  <c:v>73.13</c:v>
                </c:pt>
                <c:pt idx="3">
                  <c:v>45.53</c:v>
                </c:pt>
                <c:pt idx="4">
                  <c:v>40.799999999999997</c:v>
                </c:pt>
                <c:pt idx="5">
                  <c:v>42.23</c:v>
                </c:pt>
                <c:pt idx="6">
                  <c:v>59.11</c:v>
                </c:pt>
                <c:pt idx="7">
                  <c:v>77.150000000000006</c:v>
                </c:pt>
                <c:pt idx="8">
                  <c:v>82.82</c:v>
                </c:pt>
                <c:pt idx="9" formatCode="0.0">
                  <c:v>103.7</c:v>
                </c:pt>
                <c:pt idx="10" formatCode="0.0">
                  <c:v>112.6</c:v>
                </c:pt>
                <c:pt idx="11" formatCode="0.0">
                  <c:v>107.1</c:v>
                </c:pt>
                <c:pt idx="12">
                  <c:v>86.89</c:v>
                </c:pt>
                <c:pt idx="13">
                  <c:v>79.150000000000006</c:v>
                </c:pt>
                <c:pt idx="14">
                  <c:v>64.099999999999994</c:v>
                </c:pt>
                <c:pt idx="15">
                  <c:v>42.44</c:v>
                </c:pt>
                <c:pt idx="16">
                  <c:v>40.22</c:v>
                </c:pt>
                <c:pt idx="17">
                  <c:v>41.41</c:v>
                </c:pt>
                <c:pt idx="18">
                  <c:v>53.27</c:v>
                </c:pt>
                <c:pt idx="19">
                  <c:v>75.67</c:v>
                </c:pt>
                <c:pt idx="20">
                  <c:v>82.13</c:v>
                </c:pt>
                <c:pt idx="21" formatCode="0.0">
                  <c:v>103.3</c:v>
                </c:pt>
                <c:pt idx="22" formatCode="0.0">
                  <c:v>114.1</c:v>
                </c:pt>
                <c:pt idx="23" formatCode="0.0">
                  <c:v>111.9</c:v>
                </c:pt>
                <c:pt idx="24">
                  <c:v>92.91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7-45E3-B2A2-2F9501A3E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85552"/>
        <c:axId val="322880752"/>
      </c:scatterChart>
      <c:valAx>
        <c:axId val="3228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0752"/>
        <c:crosses val="autoZero"/>
        <c:crossBetween val="midCat"/>
      </c:valAx>
      <c:valAx>
        <c:axId val="3228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28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(3)'!$AK$4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(3)'!$AI$5:$AI$41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(3)'!$AK$5:$AK$41</c:f>
              <c:numCache>
                <c:formatCode>0.0</c:formatCode>
                <c:ptCount val="37"/>
                <c:pt idx="0">
                  <c:v>156.1</c:v>
                </c:pt>
                <c:pt idx="1">
                  <c:v>136</c:v>
                </c:pt>
                <c:pt idx="2">
                  <c:v>114.2</c:v>
                </c:pt>
                <c:pt idx="3" formatCode="0.00">
                  <c:v>74.34</c:v>
                </c:pt>
                <c:pt idx="4" formatCode="0.00">
                  <c:v>36.65</c:v>
                </c:pt>
                <c:pt idx="5" formatCode="0.000">
                  <c:v>2.157</c:v>
                </c:pt>
                <c:pt idx="6" formatCode="0.000">
                  <c:v>0.33300000000000002</c:v>
                </c:pt>
                <c:pt idx="7" formatCode="0.000">
                  <c:v>7.375</c:v>
                </c:pt>
                <c:pt idx="8" formatCode="0.00">
                  <c:v>40.299999999999997</c:v>
                </c:pt>
                <c:pt idx="9" formatCode="0.00">
                  <c:v>80.180000000000007</c:v>
                </c:pt>
                <c:pt idx="10">
                  <c:v>119.4</c:v>
                </c:pt>
                <c:pt idx="11">
                  <c:v>145.5</c:v>
                </c:pt>
                <c:pt idx="12">
                  <c:v>153.1</c:v>
                </c:pt>
                <c:pt idx="13">
                  <c:v>127.2</c:v>
                </c:pt>
                <c:pt idx="14">
                  <c:v>105.2</c:v>
                </c:pt>
                <c:pt idx="15" formatCode="0.00">
                  <c:v>69.150000000000006</c:v>
                </c:pt>
                <c:pt idx="16" formatCode="0.00">
                  <c:v>33.67</c:v>
                </c:pt>
                <c:pt idx="17" formatCode="0.000">
                  <c:v>1.2929999999999999</c:v>
                </c:pt>
                <c:pt idx="18" formatCode="0.000">
                  <c:v>0.21099999999999999</c:v>
                </c:pt>
                <c:pt idx="19" formatCode="0.00">
                  <c:v>10.68</c:v>
                </c:pt>
                <c:pt idx="20" formatCode="0.00">
                  <c:v>40.380000000000003</c:v>
                </c:pt>
                <c:pt idx="21" formatCode="0.00">
                  <c:v>80.22</c:v>
                </c:pt>
                <c:pt idx="22">
                  <c:v>120.1</c:v>
                </c:pt>
                <c:pt idx="23">
                  <c:v>149</c:v>
                </c:pt>
                <c:pt idx="24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7-467F-AD5F-F5C6B305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06192"/>
        <c:axId val="716606672"/>
      </c:scatterChart>
      <c:valAx>
        <c:axId val="716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672"/>
        <c:crosses val="autoZero"/>
        <c:crossBetween val="midCat"/>
      </c:valAx>
      <c:valAx>
        <c:axId val="7166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(3)'!$AS$4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(3)'!$AQ$5:$AQ$41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(3)'!$AS$5:$AS$41</c:f>
              <c:numCache>
                <c:formatCode>0.00</c:formatCode>
                <c:ptCount val="37"/>
                <c:pt idx="0">
                  <c:v>81.709999999999994</c:v>
                </c:pt>
                <c:pt idx="1">
                  <c:v>69.12</c:v>
                </c:pt>
                <c:pt idx="2">
                  <c:v>46.3</c:v>
                </c:pt>
                <c:pt idx="3">
                  <c:v>40.43</c:v>
                </c:pt>
                <c:pt idx="4">
                  <c:v>40.51</c:v>
                </c:pt>
                <c:pt idx="5">
                  <c:v>44.57</c:v>
                </c:pt>
                <c:pt idx="6">
                  <c:v>69.52</c:v>
                </c:pt>
                <c:pt idx="7">
                  <c:v>80.430000000000007</c:v>
                </c:pt>
                <c:pt idx="8">
                  <c:v>92.77</c:v>
                </c:pt>
                <c:pt idx="9" formatCode="0.0">
                  <c:v>111.4</c:v>
                </c:pt>
                <c:pt idx="10" formatCode="0.0">
                  <c:v>105.3</c:v>
                </c:pt>
                <c:pt idx="11">
                  <c:v>92.5</c:v>
                </c:pt>
                <c:pt idx="12">
                  <c:v>80.08</c:v>
                </c:pt>
                <c:pt idx="13">
                  <c:v>66.27</c:v>
                </c:pt>
                <c:pt idx="14">
                  <c:v>44.36</c:v>
                </c:pt>
                <c:pt idx="15">
                  <c:v>40.5</c:v>
                </c:pt>
                <c:pt idx="16">
                  <c:v>40.33</c:v>
                </c:pt>
                <c:pt idx="17">
                  <c:v>47.81</c:v>
                </c:pt>
                <c:pt idx="18">
                  <c:v>74.239999999999995</c:v>
                </c:pt>
                <c:pt idx="19">
                  <c:v>81.99</c:v>
                </c:pt>
                <c:pt idx="20" formatCode="0.0">
                  <c:v>103.2</c:v>
                </c:pt>
                <c:pt idx="21" formatCode="0.0">
                  <c:v>116.1</c:v>
                </c:pt>
                <c:pt idx="22" formatCode="0.0">
                  <c:v>115.5</c:v>
                </c:pt>
                <c:pt idx="23" formatCode="0.0">
                  <c:v>104.6</c:v>
                </c:pt>
                <c:pt idx="24">
                  <c:v>81.55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5-4200-88CC-C8E2CD53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9712"/>
        <c:axId val="716565392"/>
      </c:scatterChart>
      <c:valAx>
        <c:axId val="71656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5392"/>
        <c:crosses val="autoZero"/>
        <c:crossBetween val="midCat"/>
      </c:valAx>
      <c:valAx>
        <c:axId val="7165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6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(3)'!$BA$4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(3)'!$AY$5:$AY$41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(3)'!$BA$5:$BA$41</c:f>
              <c:numCache>
                <c:formatCode>0.00</c:formatCode>
                <c:ptCount val="37"/>
                <c:pt idx="0">
                  <c:v>80.22</c:v>
                </c:pt>
                <c:pt idx="1">
                  <c:v>80.099999999999994</c:v>
                </c:pt>
                <c:pt idx="2">
                  <c:v>80.150000000000006</c:v>
                </c:pt>
                <c:pt idx="3">
                  <c:v>79.599999999999994</c:v>
                </c:pt>
                <c:pt idx="4">
                  <c:v>78.739999999999995</c:v>
                </c:pt>
                <c:pt idx="5">
                  <c:v>77</c:v>
                </c:pt>
                <c:pt idx="6">
                  <c:v>73.95</c:v>
                </c:pt>
                <c:pt idx="7">
                  <c:v>71.739999999999995</c:v>
                </c:pt>
                <c:pt idx="8">
                  <c:v>71.459999999999994</c:v>
                </c:pt>
                <c:pt idx="9">
                  <c:v>74.25</c:v>
                </c:pt>
                <c:pt idx="10">
                  <c:v>76.900000000000006</c:v>
                </c:pt>
                <c:pt idx="11">
                  <c:v>78.89</c:v>
                </c:pt>
                <c:pt idx="12">
                  <c:v>79.790000000000006</c:v>
                </c:pt>
                <c:pt idx="13">
                  <c:v>79.78</c:v>
                </c:pt>
                <c:pt idx="14">
                  <c:v>79.83</c:v>
                </c:pt>
                <c:pt idx="15">
                  <c:v>79.260000000000005</c:v>
                </c:pt>
                <c:pt idx="16">
                  <c:v>78.3</c:v>
                </c:pt>
                <c:pt idx="17">
                  <c:v>76.67</c:v>
                </c:pt>
                <c:pt idx="18">
                  <c:v>74.27</c:v>
                </c:pt>
                <c:pt idx="19">
                  <c:v>75.150000000000006</c:v>
                </c:pt>
                <c:pt idx="20">
                  <c:v>75.709999999999994</c:v>
                </c:pt>
                <c:pt idx="21">
                  <c:v>76.739999999999995</c:v>
                </c:pt>
                <c:pt idx="22">
                  <c:v>79.19</c:v>
                </c:pt>
                <c:pt idx="23">
                  <c:v>79.989999999999995</c:v>
                </c:pt>
                <c:pt idx="24">
                  <c:v>80.16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5-4F25-9E5D-7E1EF6A6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7872"/>
        <c:axId val="716578352"/>
      </c:scatterChart>
      <c:valAx>
        <c:axId val="7165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8352"/>
        <c:crosses val="autoZero"/>
        <c:crossBetween val="midCat"/>
      </c:valAx>
      <c:valAx>
        <c:axId val="716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65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(3)'!$BI$4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(3)'!$BG$5:$BG$41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(3)'!$BI$5:$BI$41</c:f>
              <c:numCache>
                <c:formatCode>0.0</c:formatCode>
                <c:ptCount val="37"/>
                <c:pt idx="0">
                  <c:v>115.1</c:v>
                </c:pt>
                <c:pt idx="1">
                  <c:v>119.9</c:v>
                </c:pt>
                <c:pt idx="2">
                  <c:v>119.2</c:v>
                </c:pt>
                <c:pt idx="3">
                  <c:v>111.3</c:v>
                </c:pt>
                <c:pt idx="4" formatCode="0.00">
                  <c:v>80.61</c:v>
                </c:pt>
                <c:pt idx="5" formatCode="0.00">
                  <c:v>63.45</c:v>
                </c:pt>
                <c:pt idx="6" formatCode="0.00">
                  <c:v>40.36</c:v>
                </c:pt>
                <c:pt idx="7" formatCode="0.00">
                  <c:v>35.51</c:v>
                </c:pt>
                <c:pt idx="8" formatCode="0.00">
                  <c:v>36.979999999999997</c:v>
                </c:pt>
                <c:pt idx="9" formatCode="0.00">
                  <c:v>40.96</c:v>
                </c:pt>
                <c:pt idx="10" formatCode="0.00">
                  <c:v>68.22</c:v>
                </c:pt>
                <c:pt idx="11" formatCode="0.00">
                  <c:v>83.33</c:v>
                </c:pt>
                <c:pt idx="12">
                  <c:v>111</c:v>
                </c:pt>
                <c:pt idx="13">
                  <c:v>118.7</c:v>
                </c:pt>
                <c:pt idx="14">
                  <c:v>117.7</c:v>
                </c:pt>
                <c:pt idx="15" formatCode="0.00">
                  <c:v>99.9</c:v>
                </c:pt>
                <c:pt idx="16" formatCode="0.00">
                  <c:v>80.010000000000005</c:v>
                </c:pt>
                <c:pt idx="17" formatCode="0.00">
                  <c:v>55.11</c:v>
                </c:pt>
                <c:pt idx="18" formatCode="0.00">
                  <c:v>39.69</c:v>
                </c:pt>
                <c:pt idx="19" formatCode="0.00">
                  <c:v>36.36</c:v>
                </c:pt>
                <c:pt idx="20" formatCode="0.00">
                  <c:v>37.57</c:v>
                </c:pt>
                <c:pt idx="21" formatCode="0.00">
                  <c:v>41.52</c:v>
                </c:pt>
                <c:pt idx="22" formatCode="0.00">
                  <c:v>70.19</c:v>
                </c:pt>
                <c:pt idx="23" formatCode="0.00">
                  <c:v>86.04</c:v>
                </c:pt>
                <c:pt idx="24">
                  <c:v>116.9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0-4303-A3B8-7A8B442FC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(3)'!$H$4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(3)'!$G$5:$G$41</c:f>
              <c:numCache>
                <c:formatCode>0.000</c:formatCode>
                <c:ptCount val="37"/>
                <c:pt idx="0">
                  <c:v>0.1603</c:v>
                </c:pt>
                <c:pt idx="1">
                  <c:v>0.145178651691247</c:v>
                </c:pt>
                <c:pt idx="2">
                  <c:v>0.10271061288883443</c:v>
                </c:pt>
                <c:pt idx="3">
                  <c:v>5.4786633406333711E-2</c:v>
                </c:pt>
                <c:pt idx="4">
                  <c:v>1.9045000000000006E-2</c:v>
                </c:pt>
                <c:pt idx="5">
                  <c:v>5.6163732787246998E-4</c:v>
                </c:pt>
                <c:pt idx="6">
                  <c:v>2.3155305797772919E-20</c:v>
                </c:pt>
                <c:pt idx="7">
                  <c:v>-2.8961851146972082E-3</c:v>
                </c:pt>
                <c:pt idx="8">
                  <c:v>-2.073499999999999E-2</c:v>
                </c:pt>
                <c:pt idx="9">
                  <c:v>-5.7332217818605265E-2</c:v>
                </c:pt>
                <c:pt idx="10">
                  <c:v>-0.10478907385791708</c:v>
                </c:pt>
                <c:pt idx="11">
                  <c:v>-0.1489457624137743</c:v>
                </c:pt>
                <c:pt idx="12">
                  <c:v>-0.16</c:v>
                </c:pt>
                <c:pt idx="13">
                  <c:v>-0.14266724454289539</c:v>
                </c:pt>
                <c:pt idx="14">
                  <c:v>-0.10063215191975176</c:v>
                </c:pt>
                <c:pt idx="15">
                  <c:v>-5.4878557287887965E-2</c:v>
                </c:pt>
                <c:pt idx="16">
                  <c:v>-1.8385000000000019E-2</c:v>
                </c:pt>
                <c:pt idx="17">
                  <c:v>-6.9078803137862757E-4</c:v>
                </c:pt>
                <c:pt idx="18">
                  <c:v>-8.8210688753420628E-20</c:v>
                </c:pt>
                <c:pt idx="19">
                  <c:v>2.782304734852093E-3</c:v>
                </c:pt>
                <c:pt idx="20">
                  <c:v>2.0405000000000003E-2</c:v>
                </c:pt>
                <c:pt idx="21">
                  <c:v>5.7961542853861285E-2</c:v>
                </c:pt>
                <c:pt idx="22">
                  <c:v>0.10574170180207992</c:v>
                </c:pt>
                <c:pt idx="23">
                  <c:v>0.15280946571893059</c:v>
                </c:pt>
                <c:pt idx="24">
                  <c:v>0.16009999999999999</c:v>
                </c:pt>
              </c:numCache>
            </c:numRef>
          </c:xVal>
          <c:yVal>
            <c:numRef>
              <c:f>'Sheet2 (3)'!$H$5:$H$41</c:f>
              <c:numCache>
                <c:formatCode>0.000</c:formatCode>
                <c:ptCount val="37"/>
                <c:pt idx="0">
                  <c:v>0</c:v>
                </c:pt>
                <c:pt idx="1">
                  <c:v>3.8900502478908874E-2</c:v>
                </c:pt>
                <c:pt idx="2">
                  <c:v>5.9299999999999992E-2</c:v>
                </c:pt>
                <c:pt idx="3">
                  <c:v>5.4786633406333704E-2</c:v>
                </c:pt>
                <c:pt idx="4">
                  <c:v>3.2986907630149269E-2</c:v>
                </c:pt>
                <c:pt idx="5">
                  <c:v>2.0960590430472801E-3</c:v>
                </c:pt>
                <c:pt idx="6">
                  <c:v>3.7800000000000003E-4</c:v>
                </c:pt>
                <c:pt idx="7">
                  <c:v>1.0808709996174675E-2</c:v>
                </c:pt>
                <c:pt idx="8">
                  <c:v>3.5914073494940676E-2</c:v>
                </c:pt>
                <c:pt idx="9">
                  <c:v>5.7332217818605279E-2</c:v>
                </c:pt>
                <c:pt idx="10">
                  <c:v>6.0499999999999991E-2</c:v>
                </c:pt>
                <c:pt idx="11">
                  <c:v>3.9909896754808737E-2</c:v>
                </c:pt>
                <c:pt idx="12">
                  <c:v>1.9602375278537921E-17</c:v>
                </c:pt>
                <c:pt idx="13">
                  <c:v>-3.8227572961642323E-2</c:v>
                </c:pt>
                <c:pt idx="14">
                  <c:v>-5.8100000000000013E-2</c:v>
                </c:pt>
                <c:pt idx="15">
                  <c:v>-5.4878557287887944E-2</c:v>
                </c:pt>
                <c:pt idx="16">
                  <c:v>-3.1843754097153801E-2</c:v>
                </c:pt>
                <c:pt idx="17">
                  <c:v>-2.5780560303655235E-3</c:v>
                </c:pt>
                <c:pt idx="18">
                  <c:v>-4.7999999999999996E-4</c:v>
                </c:pt>
                <c:pt idx="19">
                  <c:v>-1.0383702632607485E-2</c:v>
                </c:pt>
                <c:pt idx="20">
                  <c:v>-3.5342496728442939E-2</c:v>
                </c:pt>
                <c:pt idx="21">
                  <c:v>-5.7961542853861313E-2</c:v>
                </c:pt>
                <c:pt idx="22">
                  <c:v>-6.1050000000000056E-2</c:v>
                </c:pt>
                <c:pt idx="23">
                  <c:v>-4.0945172935218765E-2</c:v>
                </c:pt>
                <c:pt idx="24">
                  <c:v>-3.9229253526174009E-17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A-4ADA-BC27-14BF48573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7951"/>
        <c:axId val="223788431"/>
      </c:scatterChart>
      <c:valAx>
        <c:axId val="22378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8431"/>
        <c:crosses val="autoZero"/>
        <c:crossBetween val="midCat"/>
      </c:valAx>
      <c:valAx>
        <c:axId val="2237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(3)'!$P$4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(3)'!$O$5:$O$29</c:f>
              <c:numCache>
                <c:formatCode>0.000</c:formatCode>
                <c:ptCount val="25"/>
                <c:pt idx="0">
                  <c:v>0.1174</c:v>
                </c:pt>
                <c:pt idx="1">
                  <c:v>0.11600769173731711</c:v>
                </c:pt>
                <c:pt idx="2">
                  <c:v>0.10383644591375421</c:v>
                </c:pt>
                <c:pt idx="3">
                  <c:v>7.9761644917842558E-2</c:v>
                </c:pt>
                <c:pt idx="4">
                  <c:v>4.3860000000000003E-2</c:v>
                </c:pt>
                <c:pt idx="5">
                  <c:v>1.9419192954042132E-2</c:v>
                </c:pt>
                <c:pt idx="6">
                  <c:v>2.5501465088922925E-18</c:v>
                </c:pt>
                <c:pt idx="7">
                  <c:v>-9.8584174279550199E-3</c:v>
                </c:pt>
                <c:pt idx="8">
                  <c:v>-1.8604999999999993E-2</c:v>
                </c:pt>
                <c:pt idx="9">
                  <c:v>-2.9069159774578968E-2</c:v>
                </c:pt>
                <c:pt idx="10">
                  <c:v>-5.9868336163618245E-2</c:v>
                </c:pt>
                <c:pt idx="11">
                  <c:v>-7.9312169596595386E-2</c:v>
                </c:pt>
                <c:pt idx="12">
                  <c:v>-0.1169</c:v>
                </c:pt>
                <c:pt idx="13">
                  <c:v>-0.11629746948520384</c:v>
                </c:pt>
                <c:pt idx="14">
                  <c:v>-0.10323022813110508</c:v>
                </c:pt>
                <c:pt idx="15">
                  <c:v>-8.2731493398826086E-2</c:v>
                </c:pt>
                <c:pt idx="16">
                  <c:v>-4.1555000000000036E-2</c:v>
                </c:pt>
                <c:pt idx="17">
                  <c:v>-1.7710987256365489E-2</c:v>
                </c:pt>
                <c:pt idx="18">
                  <c:v>-7.6100096276648928E-18</c:v>
                </c:pt>
                <c:pt idx="19">
                  <c:v>9.6047747637545266E-3</c:v>
                </c:pt>
                <c:pt idx="20">
                  <c:v>1.8795000000000006E-2</c:v>
                </c:pt>
                <c:pt idx="21">
                  <c:v>2.9839906166072298E-2</c:v>
                </c:pt>
                <c:pt idx="22">
                  <c:v>6.0361970643775353E-2</c:v>
                </c:pt>
                <c:pt idx="23">
                  <c:v>8.0403665780302044E-2</c:v>
                </c:pt>
                <c:pt idx="24">
                  <c:v>0.11600000000000001</c:v>
                </c:pt>
              </c:numCache>
            </c:numRef>
          </c:xVal>
          <c:yVal>
            <c:numRef>
              <c:f>'Sheet2 (3)'!$P$5:$P$29</c:f>
              <c:numCache>
                <c:formatCode>0.000</c:formatCode>
                <c:ptCount val="25"/>
                <c:pt idx="0">
                  <c:v>0</c:v>
                </c:pt>
                <c:pt idx="1">
                  <c:v>3.1084167316812742E-2</c:v>
                </c:pt>
                <c:pt idx="2">
                  <c:v>5.9949999999999996E-2</c:v>
                </c:pt>
                <c:pt idx="3">
                  <c:v>7.9761644917842558E-2</c:v>
                </c:pt>
                <c:pt idx="4">
                  <c:v>7.5967748419970949E-2</c:v>
                </c:pt>
                <c:pt idx="5">
                  <c:v>7.2473414746468789E-2</c:v>
                </c:pt>
                <c:pt idx="6">
                  <c:v>4.163E-2</c:v>
                </c:pt>
                <c:pt idx="7">
                  <c:v>3.6792114723350616E-2</c:v>
                </c:pt>
                <c:pt idx="8">
                  <c:v>3.2224805274818961E-2</c:v>
                </c:pt>
                <c:pt idx="9">
                  <c:v>2.9069159774578971E-2</c:v>
                </c:pt>
                <c:pt idx="10">
                  <c:v>3.4564999999999992E-2</c:v>
                </c:pt>
                <c:pt idx="11">
                  <c:v>2.1251631793368E-2</c:v>
                </c:pt>
                <c:pt idx="12">
                  <c:v>1.4321985437881769E-17</c:v>
                </c:pt>
                <c:pt idx="13">
                  <c:v>-3.1161813030343505E-2</c:v>
                </c:pt>
                <c:pt idx="14">
                  <c:v>-5.9600000000000014E-2</c:v>
                </c:pt>
                <c:pt idx="15">
                  <c:v>-8.2731493398826059E-2</c:v>
                </c:pt>
                <c:pt idx="16">
                  <c:v>-7.1975371308524674E-2</c:v>
                </c:pt>
                <c:pt idx="17">
                  <c:v>-6.6098304292960944E-2</c:v>
                </c:pt>
                <c:pt idx="18">
                  <c:v>-4.1409999999999995E-2</c:v>
                </c:pt>
                <c:pt idx="19">
                  <c:v>-3.584550741358733E-2</c:v>
                </c:pt>
                <c:pt idx="20">
                  <c:v>-3.2553894928257054E-2</c:v>
                </c:pt>
                <c:pt idx="21">
                  <c:v>-2.9839906166072312E-2</c:v>
                </c:pt>
                <c:pt idx="22">
                  <c:v>-3.4850000000000027E-2</c:v>
                </c:pt>
                <c:pt idx="23">
                  <c:v>-2.1544097314333821E-2</c:v>
                </c:pt>
                <c:pt idx="24">
                  <c:v>-2.8423444153879987E-17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D-4376-BB33-677F263A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6511"/>
        <c:axId val="223793711"/>
      </c:scatterChart>
      <c:valAx>
        <c:axId val="2237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3711"/>
        <c:crosses val="autoZero"/>
        <c:crossBetween val="midCat"/>
      </c:valAx>
      <c:valAx>
        <c:axId val="2237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8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8452964537819678E-2"/>
          <c:y val="0.1125103416969901"/>
          <c:w val="0.85710651128931525"/>
          <c:h val="0.85863263136448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'Sheet2 (3)'!$X$4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(3)'!$W$5:$W$41</c:f>
              <c:numCache>
                <c:formatCode>0.000</c:formatCode>
                <c:ptCount val="37"/>
                <c:pt idx="0">
                  <c:v>8.181999999999999E-2</c:v>
                </c:pt>
                <c:pt idx="1">
                  <c:v>8.0780376852554778E-2</c:v>
                </c:pt>
                <c:pt idx="2">
                  <c:v>7.1118006158778099E-2</c:v>
                </c:pt>
                <c:pt idx="3">
                  <c:v>5.6823100936150964E-2</c:v>
                </c:pt>
                <c:pt idx="4">
                  <c:v>3.9630000000000012E-2</c:v>
                </c:pt>
                <c:pt idx="5">
                  <c:v>2.0304354088292755E-2</c:v>
                </c:pt>
                <c:pt idx="6">
                  <c:v>4.6341240306918558E-18</c:v>
                </c:pt>
                <c:pt idx="7">
                  <c:v>-1.8407210487691283E-2</c:v>
                </c:pt>
                <c:pt idx="8">
                  <c:v>-3.4669999999999986E-2</c:v>
                </c:pt>
                <c:pt idx="9">
                  <c:v>-5.2340043943428248E-2</c:v>
                </c:pt>
                <c:pt idx="10">
                  <c:v>-6.7965673689002762E-2</c:v>
                </c:pt>
                <c:pt idx="11">
                  <c:v>-7.7264406844862563E-2</c:v>
                </c:pt>
                <c:pt idx="12">
                  <c:v>-8.2200000000000009E-2</c:v>
                </c:pt>
                <c:pt idx="13">
                  <c:v>-7.8616703001667274E-2</c:v>
                </c:pt>
                <c:pt idx="14">
                  <c:v>-7.133451250972421E-2</c:v>
                </c:pt>
                <c:pt idx="15">
                  <c:v>-5.7402928496723946E-2</c:v>
                </c:pt>
                <c:pt idx="16">
                  <c:v>-3.9390000000000036E-2</c:v>
                </c:pt>
                <c:pt idx="17">
                  <c:v>-1.9957536567855365E-2</c:v>
                </c:pt>
                <c:pt idx="18">
                  <c:v>-1.3187497968636386E-17</c:v>
                </c:pt>
                <c:pt idx="19">
                  <c:v>1.7962041730114911E-2</c:v>
                </c:pt>
                <c:pt idx="20">
                  <c:v>3.6120000000000006E-2</c:v>
                </c:pt>
                <c:pt idx="21">
                  <c:v>5.4525003897294665E-2</c:v>
                </c:pt>
                <c:pt idx="22">
                  <c:v>6.8996243919506206E-2</c:v>
                </c:pt>
                <c:pt idx="23">
                  <c:v>7.8722954842559076E-2</c:v>
                </c:pt>
                <c:pt idx="24">
                  <c:v>8.5000000000000006E-2</c:v>
                </c:pt>
              </c:numCache>
            </c:numRef>
          </c:xVal>
          <c:yVal>
            <c:numRef>
              <c:f>'Sheet2 (3)'!$X$5:$X$41</c:f>
              <c:numCache>
                <c:formatCode>0.000</c:formatCode>
                <c:ptCount val="37"/>
                <c:pt idx="0">
                  <c:v>0</c:v>
                </c:pt>
                <c:pt idx="1">
                  <c:v>2.164503674192381E-2</c:v>
                </c:pt>
                <c:pt idx="2">
                  <c:v>4.1059999999999992E-2</c:v>
                </c:pt>
                <c:pt idx="3">
                  <c:v>5.6823100936150957E-2</c:v>
                </c:pt>
                <c:pt idx="4">
                  <c:v>6.8641173503954614E-2</c:v>
                </c:pt>
                <c:pt idx="5">
                  <c:v>7.5776881072377414E-2</c:v>
                </c:pt>
                <c:pt idx="6">
                  <c:v>7.5650000000000009E-2</c:v>
                </c:pt>
                <c:pt idx="7">
                  <c:v>6.8696644765678536E-2</c:v>
                </c:pt>
                <c:pt idx="8">
                  <c:v>6.0050201498412982E-2</c:v>
                </c:pt>
                <c:pt idx="9">
                  <c:v>5.2340043943428255E-2</c:v>
                </c:pt>
                <c:pt idx="10">
                  <c:v>3.9239999999999997E-2</c:v>
                </c:pt>
                <c:pt idx="11">
                  <c:v>2.0702935417750656E-2</c:v>
                </c:pt>
                <c:pt idx="12">
                  <c:v>1.0070720299348858E-17</c:v>
                </c:pt>
                <c:pt idx="13">
                  <c:v>-2.1065282080894168E-2</c:v>
                </c:pt>
                <c:pt idx="14">
                  <c:v>-4.1185000000000006E-2</c:v>
                </c:pt>
                <c:pt idx="15">
                  <c:v>-5.7402928496723925E-2</c:v>
                </c:pt>
                <c:pt idx="16">
                  <c:v>-6.8225481310138059E-2</c:v>
                </c:pt>
                <c:pt idx="17">
                  <c:v>-7.4482540465150057E-2</c:v>
                </c:pt>
                <c:pt idx="18">
                  <c:v>-7.1760000000000004E-2</c:v>
                </c:pt>
                <c:pt idx="19">
                  <c:v>-6.7035252344461352E-2</c:v>
                </c:pt>
                <c:pt idx="20">
                  <c:v>-6.2561675169387848E-2</c:v>
                </c:pt>
                <c:pt idx="21">
                  <c:v>-5.4525003897294692E-2</c:v>
                </c:pt>
                <c:pt idx="22">
                  <c:v>-3.9835000000000037E-2</c:v>
                </c:pt>
                <c:pt idx="23">
                  <c:v>-2.1093752175855438E-2</c:v>
                </c:pt>
                <c:pt idx="24">
                  <c:v>-2.0827523733446543E-17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8-44E2-A97E-6FAB9A0D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10031"/>
        <c:axId val="223796591"/>
      </c:scatterChart>
      <c:valAx>
        <c:axId val="2238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6591"/>
        <c:crosses val="autoZero"/>
        <c:crossBetween val="midCat"/>
      </c:valAx>
      <c:valAx>
        <c:axId val="2237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1003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(3)'!$AF$4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(3)'!$AE$5:$AE$41</c:f>
              <c:numCache>
                <c:formatCode>0.000</c:formatCode>
                <c:ptCount val="37"/>
                <c:pt idx="0">
                  <c:v>0.1021</c:v>
                </c:pt>
                <c:pt idx="1">
                  <c:v>7.8346243770306329E-2</c:v>
                </c:pt>
                <c:pt idx="2">
                  <c:v>6.3332437778756009E-2</c:v>
                </c:pt>
                <c:pt idx="3">
                  <c:v>3.219457174742351E-2</c:v>
                </c:pt>
                <c:pt idx="4">
                  <c:v>2.0400000000000001E-2</c:v>
                </c:pt>
                <c:pt idx="5">
                  <c:v>1.092992827467945E-2</c:v>
                </c:pt>
                <c:pt idx="6">
                  <c:v>3.6209262584824268E-18</c:v>
                </c:pt>
                <c:pt idx="7">
                  <c:v>-1.9967889329659486E-2</c:v>
                </c:pt>
                <c:pt idx="8">
                  <c:v>-4.1409999999999975E-2</c:v>
                </c:pt>
                <c:pt idx="9">
                  <c:v>-7.3326973209044966E-2</c:v>
                </c:pt>
                <c:pt idx="10">
                  <c:v>-9.7514460466127786E-2</c:v>
                </c:pt>
                <c:pt idx="11">
                  <c:v>-0.10345065599555921</c:v>
                </c:pt>
                <c:pt idx="12">
                  <c:v>-8.6889999999999995E-2</c:v>
                </c:pt>
                <c:pt idx="13">
                  <c:v>-7.6453029150779769E-2</c:v>
                </c:pt>
                <c:pt idx="14">
                  <c:v>-5.5512228382582504E-2</c:v>
                </c:pt>
                <c:pt idx="15">
                  <c:v>-3.0009611793557083E-2</c:v>
                </c:pt>
                <c:pt idx="16">
                  <c:v>-2.0110000000000017E-2</c:v>
                </c:pt>
                <c:pt idx="17">
                  <c:v>-1.0717696657695378E-2</c:v>
                </c:pt>
                <c:pt idx="18">
                  <c:v>-9.7895487289473292E-18</c:v>
                </c:pt>
                <c:pt idx="19">
                  <c:v>1.9584837142907711E-2</c:v>
                </c:pt>
                <c:pt idx="20">
                  <c:v>4.1065000000000004E-2</c:v>
                </c:pt>
                <c:pt idx="21">
                  <c:v>7.3044130496570339E-2</c:v>
                </c:pt>
                <c:pt idx="22">
                  <c:v>9.8813498571804409E-2</c:v>
                </c:pt>
                <c:pt idx="23">
                  <c:v>0.10808709996174674</c:v>
                </c:pt>
                <c:pt idx="24">
                  <c:v>9.2909999999999993E-2</c:v>
                </c:pt>
              </c:numCache>
            </c:numRef>
          </c:xVal>
          <c:yVal>
            <c:numRef>
              <c:f>'Sheet2 (3)'!$AF$5:$AF$41</c:f>
              <c:numCache>
                <c:formatCode>0.000</c:formatCode>
                <c:ptCount val="37"/>
                <c:pt idx="0">
                  <c:v>0</c:v>
                </c:pt>
                <c:pt idx="1">
                  <c:v>2.0992812748265456E-2</c:v>
                </c:pt>
                <c:pt idx="2">
                  <c:v>3.6564999999999993E-2</c:v>
                </c:pt>
                <c:pt idx="3">
                  <c:v>3.2194571747423503E-2</c:v>
                </c:pt>
                <c:pt idx="4">
                  <c:v>3.5333836474405092E-2</c:v>
                </c:pt>
                <c:pt idx="5">
                  <c:v>4.0791047644187353E-2</c:v>
                </c:pt>
                <c:pt idx="6">
                  <c:v>5.9110000000000003E-2</c:v>
                </c:pt>
                <c:pt idx="7">
                  <c:v>7.4521177498201627E-2</c:v>
                </c:pt>
                <c:pt idx="8">
                  <c:v>7.1724223941427204E-2</c:v>
                </c:pt>
                <c:pt idx="9">
                  <c:v>7.3326973209044979E-2</c:v>
                </c:pt>
                <c:pt idx="10">
                  <c:v>5.6299999999999989E-2</c:v>
                </c:pt>
                <c:pt idx="11">
                  <c:v>2.7719519730480001E-2</c:v>
                </c:pt>
                <c:pt idx="12">
                  <c:v>1.0645314924700999E-17</c:v>
                </c:pt>
                <c:pt idx="13">
                  <c:v>-2.0485527419864525E-2</c:v>
                </c:pt>
                <c:pt idx="14">
                  <c:v>-3.2050000000000002E-2</c:v>
                </c:pt>
                <c:pt idx="15">
                  <c:v>-3.0009611793557073E-2</c:v>
                </c:pt>
                <c:pt idx="16">
                  <c:v>-3.4831541740210109E-2</c:v>
                </c:pt>
                <c:pt idx="17">
                  <c:v>-3.9998988466630317E-2</c:v>
                </c:pt>
                <c:pt idx="18">
                  <c:v>-5.3270000000000005E-2</c:v>
                </c:pt>
                <c:pt idx="19">
                  <c:v>-7.3091607275293805E-2</c:v>
                </c:pt>
                <c:pt idx="20">
                  <c:v>-7.1126666412815939E-2</c:v>
                </c:pt>
                <c:pt idx="21">
                  <c:v>-7.3044130496570381E-2</c:v>
                </c:pt>
                <c:pt idx="22">
                  <c:v>-5.7050000000000045E-2</c:v>
                </c:pt>
                <c:pt idx="23">
                  <c:v>-2.8961851146972063E-2</c:v>
                </c:pt>
                <c:pt idx="24">
                  <c:v>-2.2765708589111976E-17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A-4586-9DD2-810F3957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98511"/>
        <c:axId val="223797551"/>
      </c:scatterChart>
      <c:valAx>
        <c:axId val="2237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7551"/>
        <c:crosses val="autoZero"/>
        <c:crossBetween val="midCat"/>
      </c:valAx>
      <c:valAx>
        <c:axId val="2237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9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(3)'!$AN$4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(3)'!$AM$5:$AM$41</c:f>
              <c:numCache>
                <c:formatCode>0.000</c:formatCode>
                <c:ptCount val="37"/>
                <c:pt idx="0">
                  <c:v>0.15609999999999999</c:v>
                </c:pt>
                <c:pt idx="1">
                  <c:v>0.13136591237531331</c:v>
                </c:pt>
                <c:pt idx="2">
                  <c:v>9.8900101112182892E-2</c:v>
                </c:pt>
                <c:pt idx="3">
                  <c:v>5.256631811340795E-2</c:v>
                </c:pt>
                <c:pt idx="4">
                  <c:v>1.8325000000000004E-2</c:v>
                </c:pt>
                <c:pt idx="5">
                  <c:v>5.5827268028613727E-4</c:v>
                </c:pt>
                <c:pt idx="6">
                  <c:v>2.0398721774228524E-20</c:v>
                </c:pt>
                <c:pt idx="7">
                  <c:v>-1.9087904576310913E-3</c:v>
                </c:pt>
                <c:pt idx="8">
                  <c:v>-2.0149999999999987E-2</c:v>
                </c:pt>
                <c:pt idx="9">
                  <c:v>-5.669582171553738E-2</c:v>
                </c:pt>
                <c:pt idx="10">
                  <c:v>-0.10340343321186199</c:v>
                </c:pt>
                <c:pt idx="11">
                  <c:v>-0.1405422077250594</c:v>
                </c:pt>
                <c:pt idx="12">
                  <c:v>-0.15309999999999999</c:v>
                </c:pt>
                <c:pt idx="13">
                  <c:v>-0.1228657651039695</c:v>
                </c:pt>
                <c:pt idx="14">
                  <c:v>-9.1105872478122948E-2</c:v>
                </c:pt>
                <c:pt idx="15">
                  <c:v>-4.8896433919049777E-2</c:v>
                </c:pt>
                <c:pt idx="16">
                  <c:v>-1.6835000000000013E-2</c:v>
                </c:pt>
                <c:pt idx="17">
                  <c:v>-3.3465302531755916E-4</c:v>
                </c:pt>
                <c:pt idx="18">
                  <c:v>-3.8775948597857822E-20</c:v>
                </c:pt>
                <c:pt idx="19">
                  <c:v>2.7641874016949169E-3</c:v>
                </c:pt>
                <c:pt idx="20">
                  <c:v>2.0190000000000003E-2</c:v>
                </c:pt>
                <c:pt idx="21">
                  <c:v>5.6724105986784831E-2</c:v>
                </c:pt>
                <c:pt idx="22">
                  <c:v>0.10400965099451105</c:v>
                </c:pt>
                <c:pt idx="23">
                  <c:v>0.14392294811707118</c:v>
                </c:pt>
                <c:pt idx="24">
                  <c:v>0.156</c:v>
                </c:pt>
              </c:numCache>
            </c:numRef>
          </c:xVal>
          <c:yVal>
            <c:numRef>
              <c:f>'Sheet2 (3)'!$AN$5:$AN$41</c:f>
              <c:numCache>
                <c:formatCode>0.000</c:formatCode>
                <c:ptCount val="37"/>
                <c:pt idx="0">
                  <c:v>0</c:v>
                </c:pt>
                <c:pt idx="1">
                  <c:v>3.5199390133942826E-2</c:v>
                </c:pt>
                <c:pt idx="2">
                  <c:v>5.7099999999999991E-2</c:v>
                </c:pt>
                <c:pt idx="3">
                  <c:v>5.2566318113407944E-2</c:v>
                </c:pt>
                <c:pt idx="4">
                  <c:v>3.1739831048699679E-2</c:v>
                </c:pt>
                <c:pt idx="5">
                  <c:v>2.0835020073055204E-3</c:v>
                </c:pt>
                <c:pt idx="6">
                  <c:v>3.3300000000000002E-4</c:v>
                </c:pt>
                <c:pt idx="7">
                  <c:v>7.1237029688818784E-3</c:v>
                </c:pt>
                <c:pt idx="8">
                  <c:v>3.4900823772512878E-2</c:v>
                </c:pt>
                <c:pt idx="9">
                  <c:v>5.6695821715537387E-2</c:v>
                </c:pt>
                <c:pt idx="10">
                  <c:v>5.9699999999999996E-2</c:v>
                </c:pt>
                <c:pt idx="11">
                  <c:v>3.7658171062416805E-2</c:v>
                </c:pt>
                <c:pt idx="12">
                  <c:v>1.8757022844650971E-17</c:v>
                </c:pt>
                <c:pt idx="13">
                  <c:v>-3.2921782537040645E-2</c:v>
                </c:pt>
                <c:pt idx="14">
                  <c:v>-5.2600000000000015E-2</c:v>
                </c:pt>
                <c:pt idx="15">
                  <c:v>-4.8896433919049756E-2</c:v>
                </c:pt>
                <c:pt idx="16">
                  <c:v>-2.9159075345422038E-2</c:v>
                </c:pt>
                <c:pt idx="17">
                  <c:v>-1.2489420933917653E-3</c:v>
                </c:pt>
                <c:pt idx="18">
                  <c:v>-2.1100000000000001E-4</c:v>
                </c:pt>
                <c:pt idx="19">
                  <c:v>-1.0316087824767251E-2</c:v>
                </c:pt>
                <c:pt idx="20">
                  <c:v>-3.4970105804815632E-2</c:v>
                </c:pt>
                <c:pt idx="21">
                  <c:v>-5.6724105986784852E-2</c:v>
                </c:pt>
                <c:pt idx="22">
                  <c:v>-6.0050000000000055E-2</c:v>
                </c:pt>
                <c:pt idx="23">
                  <c:v>-3.8564037720275578E-2</c:v>
                </c:pt>
                <c:pt idx="24">
                  <c:v>-3.8224631793148945E-17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17-4EDB-85E2-2F997759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9231"/>
        <c:axId val="223831151"/>
      </c:scatterChart>
      <c:valAx>
        <c:axId val="22382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31151"/>
        <c:crosses val="autoZero"/>
        <c:crossBetween val="midCat"/>
      </c:valAx>
      <c:valAx>
        <c:axId val="2238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(3)'!$AV$4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(3)'!$AU$5:$AU$41</c:f>
              <c:numCache>
                <c:formatCode>0.000</c:formatCode>
                <c:ptCount val="37"/>
                <c:pt idx="0">
                  <c:v>8.1709999999999991E-2</c:v>
                </c:pt>
                <c:pt idx="1">
                  <c:v>6.6764793113100407E-2</c:v>
                </c:pt>
                <c:pt idx="2">
                  <c:v>4.0096976195219507E-2</c:v>
                </c:pt>
                <c:pt idx="3">
                  <c:v>2.8588327163372118E-2</c:v>
                </c:pt>
                <c:pt idx="4">
                  <c:v>2.0255000000000002E-2</c:v>
                </c:pt>
                <c:pt idx="5">
                  <c:v>1.1535564840219349E-2</c:v>
                </c:pt>
                <c:pt idx="6">
                  <c:v>4.2586160292623628E-18</c:v>
                </c:pt>
                <c:pt idx="7">
                  <c:v>-2.0816815797595752E-2</c:v>
                </c:pt>
                <c:pt idx="8">
                  <c:v>-4.6384999999999975E-2</c:v>
                </c:pt>
                <c:pt idx="9">
                  <c:v>-7.8771695424181387E-2</c:v>
                </c:pt>
                <c:pt idx="10">
                  <c:v>-9.119247501850139E-2</c:v>
                </c:pt>
                <c:pt idx="11">
                  <c:v>-8.9348138931738805E-2</c:v>
                </c:pt>
                <c:pt idx="12">
                  <c:v>-8.0079999999999998E-2</c:v>
                </c:pt>
                <c:pt idx="13">
                  <c:v>-6.4011904508176551E-2</c:v>
                </c:pt>
                <c:pt idx="14">
                  <c:v>-3.8416886911877696E-2</c:v>
                </c:pt>
                <c:pt idx="15">
                  <c:v>-2.8637824638055181E-2</c:v>
                </c:pt>
                <c:pt idx="16">
                  <c:v>-2.0165000000000016E-2</c:v>
                </c:pt>
                <c:pt idx="17">
                  <c:v>-1.2374138546351512E-2</c:v>
                </c:pt>
                <c:pt idx="18">
                  <c:v>-1.3643253193862392E-17</c:v>
                </c:pt>
                <c:pt idx="19">
                  <c:v>2.1220573507955639E-2</c:v>
                </c:pt>
                <c:pt idx="20">
                  <c:v>5.1600000000000014E-2</c:v>
                </c:pt>
                <c:pt idx="21">
                  <c:v>8.2095097295758146E-2</c:v>
                </c:pt>
                <c:pt idx="22">
                  <c:v>0.10002593413710263</c:v>
                </c:pt>
                <c:pt idx="23">
                  <c:v>0.10103584142983654</c:v>
                </c:pt>
                <c:pt idx="24">
                  <c:v>8.1549999999999997E-2</c:v>
                </c:pt>
              </c:numCache>
            </c:numRef>
          </c:xVal>
          <c:yVal>
            <c:numRef>
              <c:f>'Sheet2 (3)'!$AV$5:$AV$41</c:f>
              <c:numCache>
                <c:formatCode>0.000</c:formatCode>
                <c:ptCount val="37"/>
                <c:pt idx="0">
                  <c:v>0</c:v>
                </c:pt>
                <c:pt idx="1">
                  <c:v>1.7889572397486234E-2</c:v>
                </c:pt>
                <c:pt idx="2">
                  <c:v>2.3149999999999993E-2</c:v>
                </c:pt>
                <c:pt idx="3">
                  <c:v>2.8588327163372115E-2</c:v>
                </c:pt>
                <c:pt idx="4">
                  <c:v>3.5082689107307607E-2</c:v>
                </c:pt>
                <c:pt idx="5">
                  <c:v>4.3051314077703774E-2</c:v>
                </c:pt>
                <c:pt idx="6">
                  <c:v>6.9519999999999998E-2</c:v>
                </c:pt>
                <c:pt idx="7">
                  <c:v>7.7689414208429772E-2</c:v>
                </c:pt>
                <c:pt idx="8">
                  <c:v>8.0341176709082376E-2</c:v>
                </c:pt>
                <c:pt idx="9">
                  <c:v>7.8771695424181401E-2</c:v>
                </c:pt>
                <c:pt idx="10">
                  <c:v>5.2649999999999988E-2</c:v>
                </c:pt>
                <c:pt idx="11">
                  <c:v>2.3940761671983193E-2</c:v>
                </c:pt>
                <c:pt idx="12">
                  <c:v>9.8109888269082284E-18</c:v>
                </c:pt>
                <c:pt idx="13">
                  <c:v>-1.7151938118944051E-2</c:v>
                </c:pt>
                <c:pt idx="14">
                  <c:v>-2.2180000000000002E-2</c:v>
                </c:pt>
                <c:pt idx="15">
                  <c:v>-2.8637824638055174E-2</c:v>
                </c:pt>
                <c:pt idx="16">
                  <c:v>-3.4926804534626398E-2</c:v>
                </c:pt>
                <c:pt idx="17">
                  <c:v>-4.6180913754880364E-2</c:v>
                </c:pt>
                <c:pt idx="18">
                  <c:v>-7.424E-2</c:v>
                </c:pt>
                <c:pt idx="19">
                  <c:v>-7.9196258497440719E-2</c:v>
                </c:pt>
                <c:pt idx="20">
                  <c:v>-8.9373821670554063E-2</c:v>
                </c:pt>
                <c:pt idx="21">
                  <c:v>-8.2095097295758188E-2</c:v>
                </c:pt>
                <c:pt idx="22">
                  <c:v>-5.7750000000000051E-2</c:v>
                </c:pt>
                <c:pt idx="23">
                  <c:v>-2.7072472117723664E-2</c:v>
                </c:pt>
                <c:pt idx="24">
                  <c:v>-1.9982171299559592E-17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3-4210-8D48-4095723A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24911"/>
        <c:axId val="223829231"/>
      </c:scatterChart>
      <c:valAx>
        <c:axId val="2238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9231"/>
        <c:crosses val="autoZero"/>
        <c:crossBetween val="midCat"/>
      </c:valAx>
      <c:valAx>
        <c:axId val="2238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82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(3)'!$BD$4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(3)'!$BC$5:$BC$41</c:f>
              <c:numCache>
                <c:formatCode>0.000</c:formatCode>
                <c:ptCount val="37"/>
                <c:pt idx="0">
                  <c:v>8.022E-2</c:v>
                </c:pt>
                <c:pt idx="1">
                  <c:v>7.7370658685754365E-2</c:v>
                </c:pt>
                <c:pt idx="2">
                  <c:v>6.9411936113322761E-2</c:v>
                </c:pt>
                <c:pt idx="3">
                  <c:v>5.6285699782449176E-2</c:v>
                </c:pt>
                <c:pt idx="4">
                  <c:v>3.9370000000000002E-2</c:v>
                </c:pt>
                <c:pt idx="5">
                  <c:v>1.9929066472894098E-2</c:v>
                </c:pt>
                <c:pt idx="6">
                  <c:v>4.5299864120246227E-18</c:v>
                </c:pt>
                <c:pt idx="7">
                  <c:v>-1.8567678295654845E-2</c:v>
                </c:pt>
                <c:pt idx="8">
                  <c:v>-3.5729999999999984E-2</c:v>
                </c:pt>
                <c:pt idx="9">
                  <c:v>-5.2502678503101148E-2</c:v>
                </c:pt>
                <c:pt idx="10">
                  <c:v>-6.659735355102335E-2</c:v>
                </c:pt>
                <c:pt idx="11">
                  <c:v>-7.6201888435944595E-2</c:v>
                </c:pt>
                <c:pt idx="12">
                  <c:v>-7.979E-2</c:v>
                </c:pt>
                <c:pt idx="13">
                  <c:v>-7.7061562421341878E-2</c:v>
                </c:pt>
                <c:pt idx="14">
                  <c:v>-6.9134807984111729E-2</c:v>
                </c:pt>
                <c:pt idx="15">
                  <c:v>-5.6045283476845779E-2</c:v>
                </c:pt>
                <c:pt idx="16">
                  <c:v>-3.9150000000000032E-2</c:v>
                </c:pt>
                <c:pt idx="17">
                  <c:v>-1.9843656188010258E-2</c:v>
                </c:pt>
                <c:pt idx="18">
                  <c:v>-1.3648766361909482E-17</c:v>
                </c:pt>
                <c:pt idx="19">
                  <c:v>1.9450251239454402E-2</c:v>
                </c:pt>
                <c:pt idx="20">
                  <c:v>3.7855000000000007E-2</c:v>
                </c:pt>
                <c:pt idx="21">
                  <c:v>5.4263374388255639E-2</c:v>
                </c:pt>
                <c:pt idx="22">
                  <c:v>6.8580551725689678E-2</c:v>
                </c:pt>
                <c:pt idx="23">
                  <c:v>7.7264406844862563E-2</c:v>
                </c:pt>
                <c:pt idx="24">
                  <c:v>8.0159999999999995E-2</c:v>
                </c:pt>
              </c:numCache>
            </c:numRef>
          </c:xVal>
          <c:yVal>
            <c:numRef>
              <c:f>'Sheet2 (3)'!$BD$5:$BD$41</c:f>
              <c:numCache>
                <c:formatCode>0.000</c:formatCode>
                <c:ptCount val="37"/>
                <c:pt idx="0">
                  <c:v>0</c:v>
                </c:pt>
                <c:pt idx="1">
                  <c:v>2.0731405512711909E-2</c:v>
                </c:pt>
                <c:pt idx="2">
                  <c:v>4.0074999999999993E-2</c:v>
                </c:pt>
                <c:pt idx="3">
                  <c:v>5.6285699782449169E-2</c:v>
                </c:pt>
                <c:pt idx="4">
                  <c:v>6.8190840293986685E-2</c:v>
                </c:pt>
                <c:pt idx="5">
                  <c:v>7.4376288624258255E-2</c:v>
                </c:pt>
                <c:pt idx="6">
                  <c:v>7.3950000000000002E-2</c:v>
                </c:pt>
                <c:pt idx="7">
                  <c:v>6.9295518777977766E-2</c:v>
                </c:pt>
                <c:pt idx="8">
                  <c:v>6.1886175354435989E-2</c:v>
                </c:pt>
                <c:pt idx="9">
                  <c:v>5.2502678503101155E-2</c:v>
                </c:pt>
                <c:pt idx="10">
                  <c:v>3.8449999999999998E-2</c:v>
                </c:pt>
                <c:pt idx="11">
                  <c:v>2.0418234468137883E-2</c:v>
                </c:pt>
                <c:pt idx="12">
                  <c:v>9.7754595217158792E-18</c:v>
                </c:pt>
                <c:pt idx="13">
                  <c:v>-2.0648583418279111E-2</c:v>
                </c:pt>
                <c:pt idx="14">
                  <c:v>-3.9915000000000006E-2</c:v>
                </c:pt>
                <c:pt idx="15">
                  <c:v>-5.6045283476845759E-2</c:v>
                </c:pt>
                <c:pt idx="16">
                  <c:v>-6.7809789116321517E-2</c:v>
                </c:pt>
                <c:pt idx="17">
                  <c:v>-7.4057533101582876E-2</c:v>
                </c:pt>
                <c:pt idx="18">
                  <c:v>-7.4270000000000003E-2</c:v>
                </c:pt>
                <c:pt idx="19">
                  <c:v>-7.2589325845623498E-2</c:v>
                </c:pt>
                <c:pt idx="20">
                  <c:v>-6.556678332051985E-2</c:v>
                </c:pt>
                <c:pt idx="21">
                  <c:v>-5.426337438825566E-2</c:v>
                </c:pt>
                <c:pt idx="22">
                  <c:v>-3.9595000000000033E-2</c:v>
                </c:pt>
                <c:pt idx="23">
                  <c:v>-2.0702935417750628E-2</c:v>
                </c:pt>
                <c:pt idx="24">
                  <c:v>-1.9641580029094995E-17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4-456E-A03A-DE2BFA67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6635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66351"/>
        <c:crosses val="autoZero"/>
        <c:crossBetween val="midCat"/>
      </c:valAx>
      <c:valAx>
        <c:axId val="2237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(3)'!$BL$4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(3)'!$BK$5:$BK$41</c:f>
              <c:numCache>
                <c:formatCode>0.000</c:formatCode>
                <c:ptCount val="37"/>
                <c:pt idx="0">
                  <c:v>0.11509999999999999</c:v>
                </c:pt>
                <c:pt idx="1">
                  <c:v>0.1158145065720593</c:v>
                </c:pt>
                <c:pt idx="2">
                  <c:v>0.10323022813110509</c:v>
                </c:pt>
                <c:pt idx="3">
                  <c:v>7.8700984746062741E-2</c:v>
                </c:pt>
                <c:pt idx="4">
                  <c:v>4.0305000000000007E-2</c:v>
                </c:pt>
                <c:pt idx="5">
                  <c:v>1.6422068411754944E-2</c:v>
                </c:pt>
                <c:pt idx="6">
                  <c:v>2.4723495820055952E-18</c:v>
                </c:pt>
                <c:pt idx="7">
                  <c:v>-9.1906642915905151E-3</c:v>
                </c:pt>
                <c:pt idx="8">
                  <c:v>-1.8489999999999993E-2</c:v>
                </c:pt>
                <c:pt idx="9">
                  <c:v>-2.8963093757400988E-2</c:v>
                </c:pt>
                <c:pt idx="10">
                  <c:v>-5.9080253046174411E-2</c:v>
                </c:pt>
                <c:pt idx="11">
                  <c:v>-8.0490599104668048E-2</c:v>
                </c:pt>
                <c:pt idx="12">
                  <c:v>-0.111</c:v>
                </c:pt>
                <c:pt idx="13">
                  <c:v>-0.11465539558051241</c:v>
                </c:pt>
                <c:pt idx="14">
                  <c:v>-0.10193119002542843</c:v>
                </c:pt>
                <c:pt idx="15">
                  <c:v>-7.0639967440536119E-2</c:v>
                </c:pt>
                <c:pt idx="16">
                  <c:v>-4.0005000000000041E-2</c:v>
                </c:pt>
                <c:pt idx="17">
                  <c:v>-1.4263517575599911E-2</c:v>
                </c:pt>
                <c:pt idx="18">
                  <c:v>-7.2939213262984682E-18</c:v>
                </c:pt>
                <c:pt idx="19">
                  <c:v>9.4106604799276371E-3</c:v>
                </c:pt>
                <c:pt idx="20">
                  <c:v>1.8785000000000003E-2</c:v>
                </c:pt>
                <c:pt idx="21">
                  <c:v>2.9359073554865448E-2</c:v>
                </c:pt>
                <c:pt idx="22">
                  <c:v>6.0786323091629735E-2</c:v>
                </c:pt>
                <c:pt idx="23">
                  <c:v>8.3108258093911438E-2</c:v>
                </c:pt>
                <c:pt idx="24">
                  <c:v>0.1169</c:v>
                </c:pt>
              </c:numCache>
            </c:numRef>
          </c:xVal>
          <c:yVal>
            <c:numRef>
              <c:f>'Sheet2 (3)'!$BL$5:$BL$41</c:f>
              <c:numCache>
                <c:formatCode>0.000</c:formatCode>
                <c:ptCount val="37"/>
                <c:pt idx="0">
                  <c:v>0</c:v>
                </c:pt>
                <c:pt idx="1">
                  <c:v>3.1032403507792239E-2</c:v>
                </c:pt>
                <c:pt idx="2">
                  <c:v>5.9599999999999993E-2</c:v>
                </c:pt>
                <c:pt idx="3">
                  <c:v>7.8700984746062727E-2</c:v>
                </c:pt>
                <c:pt idx="4">
                  <c:v>6.9810307799063595E-2</c:v>
                </c:pt>
                <c:pt idx="5">
                  <c:v>6.1287993678041393E-2</c:v>
                </c:pt>
                <c:pt idx="6">
                  <c:v>4.036E-2</c:v>
                </c:pt>
                <c:pt idx="7">
                  <c:v>3.4300026091524813E-2</c:v>
                </c:pt>
                <c:pt idx="8">
                  <c:v>3.2025619431948545E-2</c:v>
                </c:pt>
                <c:pt idx="9">
                  <c:v>2.8963093757400991E-2</c:v>
                </c:pt>
                <c:pt idx="10">
                  <c:v>3.4109999999999994E-2</c:v>
                </c:pt>
                <c:pt idx="11">
                  <c:v>2.1567391028393078E-2</c:v>
                </c:pt>
                <c:pt idx="12">
                  <c:v>1.3599147849485683E-17</c:v>
                </c:pt>
                <c:pt idx="13">
                  <c:v>-3.072182065366922E-2</c:v>
                </c:pt>
                <c:pt idx="14">
                  <c:v>-5.8850000000000013E-2</c:v>
                </c:pt>
                <c:pt idx="15">
                  <c:v>-7.0639967440536092E-2</c:v>
                </c:pt>
                <c:pt idx="16">
                  <c:v>-6.9290692556792918E-2</c:v>
                </c:pt>
                <c:pt idx="17">
                  <c:v>-5.3232172286790551E-2</c:v>
                </c:pt>
                <c:pt idx="18">
                  <c:v>-3.9689999999999996E-2</c:v>
                </c:pt>
                <c:pt idx="19">
                  <c:v>-3.5121063043870526E-2</c:v>
                </c:pt>
                <c:pt idx="20">
                  <c:v>-3.2536574420181361E-2</c:v>
                </c:pt>
                <c:pt idx="21">
                  <c:v>-2.9359073554865462E-2</c:v>
                </c:pt>
                <c:pt idx="22">
                  <c:v>-3.5095000000000029E-2</c:v>
                </c:pt>
                <c:pt idx="23">
                  <c:v>-2.2268790640620879E-2</c:v>
                </c:pt>
                <c:pt idx="24">
                  <c:v>-2.8643970875763538E-17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2-424E-9C68-CD9E8EA69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5471"/>
        <c:axId val="223777871"/>
      </c:scatterChart>
      <c:valAx>
        <c:axId val="2237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7871"/>
        <c:crosses val="autoZero"/>
        <c:crossBetween val="midCat"/>
      </c:valAx>
      <c:valAx>
        <c:axId val="2237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37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(3)'!$BQ$4</c:f>
              <c:strCache>
                <c:ptCount val="1"/>
                <c:pt idx="0">
                  <c:v>I (mV)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(3)'!$BG$5:$BG$41</c:f>
              <c:numCache>
                <c:formatCode>General</c:formatCode>
                <c:ptCount val="3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(3)'!$BQ$5:$BQ$41</c:f>
              <c:numCache>
                <c:formatCode>0.0</c:formatCode>
                <c:ptCount val="37"/>
                <c:pt idx="0">
                  <c:v>159</c:v>
                </c:pt>
                <c:pt idx="1">
                  <c:v>128.6</c:v>
                </c:pt>
                <c:pt idx="2" formatCode="0.00">
                  <c:v>94.66</c:v>
                </c:pt>
                <c:pt idx="3" formatCode="0.00">
                  <c:v>50.48</c:v>
                </c:pt>
                <c:pt idx="4" formatCode="0.00">
                  <c:v>12.11</c:v>
                </c:pt>
                <c:pt idx="5" formatCode="0.000">
                  <c:v>3.2000000000000001E-2</c:v>
                </c:pt>
                <c:pt idx="6" formatCode="0.000">
                  <c:v>7.6999999999999999E-2</c:v>
                </c:pt>
                <c:pt idx="7" formatCode="0.00">
                  <c:v>14.71</c:v>
                </c:pt>
                <c:pt idx="8" formatCode="0.00">
                  <c:v>50.17</c:v>
                </c:pt>
                <c:pt idx="9" formatCode="0.00">
                  <c:v>90.4</c:v>
                </c:pt>
                <c:pt idx="10">
                  <c:v>124.2</c:v>
                </c:pt>
                <c:pt idx="11">
                  <c:v>155.30000000000001</c:v>
                </c:pt>
                <c:pt idx="12">
                  <c:v>153.9</c:v>
                </c:pt>
                <c:pt idx="13">
                  <c:v>121.4</c:v>
                </c:pt>
                <c:pt idx="14" formatCode="0.00">
                  <c:v>84.81</c:v>
                </c:pt>
                <c:pt idx="15" formatCode="0.00">
                  <c:v>44.26</c:v>
                </c:pt>
                <c:pt idx="16" formatCode="0.000">
                  <c:v>8.85</c:v>
                </c:pt>
                <c:pt idx="17" formatCode="0.000">
                  <c:v>7.0000000000000007E-2</c:v>
                </c:pt>
                <c:pt idx="18" formatCode="0.000">
                  <c:v>0.17299999999999999</c:v>
                </c:pt>
                <c:pt idx="19" formatCode="0.00">
                  <c:v>16.28</c:v>
                </c:pt>
                <c:pt idx="20" formatCode="0.00">
                  <c:v>45.44</c:v>
                </c:pt>
                <c:pt idx="21" formatCode="0.00">
                  <c:v>88.48</c:v>
                </c:pt>
                <c:pt idx="22">
                  <c:v>122.9</c:v>
                </c:pt>
                <c:pt idx="23">
                  <c:v>154.4</c:v>
                </c:pt>
                <c:pt idx="24">
                  <c:v>150.5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3-4F40-8FA1-89CDB1FA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7200"/>
        <c:axId val="732298160"/>
      </c:scatterChart>
      <c:valAx>
        <c:axId val="7322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8160"/>
        <c:crosses val="autoZero"/>
        <c:crossBetween val="midCat"/>
      </c:valAx>
      <c:valAx>
        <c:axId val="732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2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(3)'!$BT$4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(3)'!$BS$5:$BS$29</c:f>
              <c:numCache>
                <c:formatCode>0.000</c:formatCode>
                <c:ptCount val="25"/>
                <c:pt idx="0">
                  <c:v>0.159</c:v>
                </c:pt>
                <c:pt idx="1">
                  <c:v>0.12421806126077417</c:v>
                </c:pt>
                <c:pt idx="2">
                  <c:v>8.1977964722234967E-2</c:v>
                </c:pt>
                <c:pt idx="3">
                  <c:v>3.5694750314296919E-2</c:v>
                </c:pt>
                <c:pt idx="4">
                  <c:v>6.0550000000000014E-3</c:v>
                </c:pt>
                <c:pt idx="5">
                  <c:v>8.2822094432806641E-6</c:v>
                </c:pt>
                <c:pt idx="6">
                  <c:v>4.7168215513981873E-21</c:v>
                </c:pt>
                <c:pt idx="7">
                  <c:v>-3.8072281534580819E-3</c:v>
                </c:pt>
                <c:pt idx="8">
                  <c:v>-2.5084999999999989E-2</c:v>
                </c:pt>
                <c:pt idx="9">
                  <c:v>-6.39224530192639E-2</c:v>
                </c:pt>
                <c:pt idx="10">
                  <c:v>-0.10756035515002729</c:v>
                </c:pt>
                <c:pt idx="11">
                  <c:v>-0.15000828082269232</c:v>
                </c:pt>
                <c:pt idx="12">
                  <c:v>-0.15390000000000001</c:v>
                </c:pt>
                <c:pt idx="13">
                  <c:v>-0.11726339531149291</c:v>
                </c:pt>
                <c:pt idx="14">
                  <c:v>-7.3447614494958235E-2</c:v>
                </c:pt>
                <c:pt idx="15">
                  <c:v>-3.12965461353166E-2</c:v>
                </c:pt>
                <c:pt idx="16">
                  <c:v>-4.4250000000000045E-3</c:v>
                </c:pt>
                <c:pt idx="17">
                  <c:v>-1.8117333157176447E-5</c:v>
                </c:pt>
                <c:pt idx="18">
                  <c:v>-3.1792602404878686E-20</c:v>
                </c:pt>
                <c:pt idx="19">
                  <c:v>4.2135740542690314E-3</c:v>
                </c:pt>
                <c:pt idx="20">
                  <c:v>2.2720000000000001E-2</c:v>
                </c:pt>
                <c:pt idx="21">
                  <c:v>6.2564807999385713E-2</c:v>
                </c:pt>
                <c:pt idx="22">
                  <c:v>0.10643452212510748</c:v>
                </c:pt>
                <c:pt idx="23">
                  <c:v>0.14913894757903215</c:v>
                </c:pt>
                <c:pt idx="24">
                  <c:v>0.15049999999999999</c:v>
                </c:pt>
              </c:numCache>
            </c:numRef>
          </c:xVal>
          <c:yVal>
            <c:numRef>
              <c:f>'Sheet2 (3)'!$BT$5:$BT$29</c:f>
              <c:numCache>
                <c:formatCode>0.000</c:formatCode>
                <c:ptCount val="25"/>
                <c:pt idx="0">
                  <c:v>0</c:v>
                </c:pt>
                <c:pt idx="1">
                  <c:v>3.3284129200184163E-2</c:v>
                </c:pt>
                <c:pt idx="2">
                  <c:v>4.732999999999999E-2</c:v>
                </c:pt>
                <c:pt idx="3">
                  <c:v>3.5694750314296912E-2</c:v>
                </c:pt>
                <c:pt idx="4">
                  <c:v>1.048756763982955E-2</c:v>
                </c:pt>
                <c:pt idx="5">
                  <c:v>3.0909626441250183E-5</c:v>
                </c:pt>
                <c:pt idx="6">
                  <c:v>7.7000000000000001E-5</c:v>
                </c:pt>
                <c:pt idx="7">
                  <c:v>1.4208768904712196E-2</c:v>
                </c:pt>
                <c:pt idx="8">
                  <c:v>4.3448494507865289E-2</c:v>
                </c:pt>
                <c:pt idx="9">
                  <c:v>6.39224530192639E-2</c:v>
                </c:pt>
                <c:pt idx="10">
                  <c:v>6.2099999999999995E-2</c:v>
                </c:pt>
                <c:pt idx="11">
                  <c:v>4.019459770442152E-2</c:v>
                </c:pt>
                <c:pt idx="12">
                  <c:v>1.8855034721043663E-17</c:v>
                </c:pt>
                <c:pt idx="13">
                  <c:v>-3.1420632075446028E-2</c:v>
                </c:pt>
                <c:pt idx="14">
                  <c:v>-4.2405000000000005E-2</c:v>
                </c:pt>
                <c:pt idx="15">
                  <c:v>-3.1296546135316593E-2</c:v>
                </c:pt>
                <c:pt idx="16">
                  <c:v>-7.6643248234922797E-3</c:v>
                </c:pt>
                <c:pt idx="17">
                  <c:v>-6.7614807840234791E-5</c:v>
                </c:pt>
                <c:pt idx="18">
                  <c:v>-1.7299999999999998E-4</c:v>
                </c:pt>
                <c:pt idx="19">
                  <c:v>-1.5725272451986037E-2</c:v>
                </c:pt>
                <c:pt idx="20">
                  <c:v>-3.9352194347964886E-2</c:v>
                </c:pt>
                <c:pt idx="21">
                  <c:v>-6.2564807999385741E-2</c:v>
                </c:pt>
                <c:pt idx="22">
                  <c:v>-6.145000000000006E-2</c:v>
                </c:pt>
                <c:pt idx="23">
                  <c:v>-3.9961660563829195E-2</c:v>
                </c:pt>
                <c:pt idx="24">
                  <c:v>-3.6876968492749462E-17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9-4EB6-BCE5-79C8752D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84719"/>
        <c:axId val="1805891439"/>
      </c:scatterChart>
      <c:valAx>
        <c:axId val="18058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5891439"/>
        <c:crosses val="autoZero"/>
        <c:crossBetween val="midCat"/>
      </c:valAx>
      <c:valAx>
        <c:axId val="180589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58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(3)'!$BY$4</c:f>
              <c:strCache>
                <c:ptCount val="1"/>
                <c:pt idx="0">
                  <c:v>I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(3)'!$BW$5:$BW$29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xVal>
          <c:yVal>
            <c:numRef>
              <c:f>'Sheet2 (3)'!$BY$5:$BY$29</c:f>
              <c:numCache>
                <c:formatCode>0.0</c:formatCode>
                <c:ptCount val="25"/>
                <c:pt idx="0">
                  <c:v>155.5</c:v>
                </c:pt>
                <c:pt idx="1">
                  <c:v>129.30000000000001</c:v>
                </c:pt>
                <c:pt idx="2">
                  <c:v>107.6</c:v>
                </c:pt>
                <c:pt idx="3">
                  <c:v>61.41</c:v>
                </c:pt>
                <c:pt idx="4">
                  <c:v>24.21</c:v>
                </c:pt>
                <c:pt idx="5" formatCode="0.000">
                  <c:v>0.33300000000000002</c:v>
                </c:pt>
                <c:pt idx="6" formatCode="0.000">
                  <c:v>0.09</c:v>
                </c:pt>
                <c:pt idx="7" formatCode="0.000">
                  <c:v>8.6020000000000003</c:v>
                </c:pt>
                <c:pt idx="8">
                  <c:v>41.73</c:v>
                </c:pt>
                <c:pt idx="9">
                  <c:v>84.63</c:v>
                </c:pt>
                <c:pt idx="10">
                  <c:v>121.4</c:v>
                </c:pt>
                <c:pt idx="11">
                  <c:v>153.6</c:v>
                </c:pt>
                <c:pt idx="12">
                  <c:v>157.1</c:v>
                </c:pt>
                <c:pt idx="13">
                  <c:v>131.19999999999999</c:v>
                </c:pt>
                <c:pt idx="14">
                  <c:v>96.36</c:v>
                </c:pt>
                <c:pt idx="15">
                  <c:v>55.14</c:v>
                </c:pt>
                <c:pt idx="16">
                  <c:v>22.66</c:v>
                </c:pt>
                <c:pt idx="17" formatCode="0.000">
                  <c:v>0.192</c:v>
                </c:pt>
                <c:pt idx="18" formatCode="0.000">
                  <c:v>7.6999999999999999E-2</c:v>
                </c:pt>
                <c:pt idx="19">
                  <c:v>13.06</c:v>
                </c:pt>
                <c:pt idx="20">
                  <c:v>43.42</c:v>
                </c:pt>
                <c:pt idx="21">
                  <c:v>85.16</c:v>
                </c:pt>
                <c:pt idx="22">
                  <c:v>121.1</c:v>
                </c:pt>
                <c:pt idx="23">
                  <c:v>153.6</c:v>
                </c:pt>
                <c:pt idx="24">
                  <c:v>157.69999999999999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5-49B4-B5E9-0591C99D1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22575"/>
        <c:axId val="1831409615"/>
      </c:scatterChart>
      <c:valAx>
        <c:axId val="183142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1409615"/>
        <c:crosses val="autoZero"/>
        <c:crossBetween val="midCat"/>
      </c:valAx>
      <c:valAx>
        <c:axId val="18314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142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(3)'!$CB$4</c:f>
              <c:strCache>
                <c:ptCount val="1"/>
                <c:pt idx="0">
                  <c:v>I*sin(α)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(3)'!$CA$5:$CA$29</c:f>
              <c:numCache>
                <c:formatCode>0.000</c:formatCode>
                <c:ptCount val="25"/>
                <c:pt idx="0">
                  <c:v>0.1555</c:v>
                </c:pt>
                <c:pt idx="1">
                  <c:v>0.12489420933917653</c:v>
                </c:pt>
                <c:pt idx="2">
                  <c:v>9.31843334472056E-2</c:v>
                </c:pt>
                <c:pt idx="3">
                  <c:v>4.3423427432665883E-2</c:v>
                </c:pt>
                <c:pt idx="4">
                  <c:v>1.2105000000000005E-2</c:v>
                </c:pt>
                <c:pt idx="5">
                  <c:v>8.6186742019139415E-5</c:v>
                </c:pt>
                <c:pt idx="6">
                  <c:v>5.5131680470887892E-21</c:v>
                </c:pt>
                <c:pt idx="7">
                  <c:v>-2.2263614259718846E-3</c:v>
                </c:pt>
                <c:pt idx="8">
                  <c:v>-2.0864999999999988E-2</c:v>
                </c:pt>
                <c:pt idx="9">
                  <c:v>-5.9842446891817509E-2</c:v>
                </c:pt>
                <c:pt idx="10">
                  <c:v>-0.10513548401943086</c:v>
                </c:pt>
                <c:pt idx="11">
                  <c:v>-0.14836620691800087</c:v>
                </c:pt>
                <c:pt idx="12">
                  <c:v>-0.15709999999999999</c:v>
                </c:pt>
                <c:pt idx="13">
                  <c:v>-0.12672946840912575</c:v>
                </c:pt>
                <c:pt idx="14">
                  <c:v>-8.34502079086685E-2</c:v>
                </c:pt>
                <c:pt idx="15">
                  <c:v>-3.898986791462624E-2</c:v>
                </c:pt>
                <c:pt idx="16">
                  <c:v>-1.133000000000001E-2</c:v>
                </c:pt>
                <c:pt idx="17">
                  <c:v>-4.9693256659683964E-5</c:v>
                </c:pt>
                <c:pt idx="18">
                  <c:v>-1.415046465419456E-20</c:v>
                </c:pt>
                <c:pt idx="19">
                  <c:v>3.3801767290389151E-3</c:v>
                </c:pt>
                <c:pt idx="20">
                  <c:v>2.1710000000000004E-2</c:v>
                </c:pt>
                <c:pt idx="21">
                  <c:v>6.0217213485846369E-2</c:v>
                </c:pt>
                <c:pt idx="22">
                  <c:v>0.10487567639829548</c:v>
                </c:pt>
                <c:pt idx="23">
                  <c:v>0.14836620691800087</c:v>
                </c:pt>
                <c:pt idx="24">
                  <c:v>0.15769999999999998</c:v>
                </c:pt>
              </c:numCache>
            </c:numRef>
          </c:xVal>
          <c:yVal>
            <c:numRef>
              <c:f>'Sheet2 (3)'!$CB$5:$CB$29</c:f>
              <c:numCache>
                <c:formatCode>0.000</c:formatCode>
                <c:ptCount val="25"/>
                <c:pt idx="0">
                  <c:v>0</c:v>
                </c:pt>
                <c:pt idx="1">
                  <c:v>3.3465302531755933E-2</c:v>
                </c:pt>
                <c:pt idx="2">
                  <c:v>5.3799999999999994E-2</c:v>
                </c:pt>
                <c:pt idx="3">
                  <c:v>4.3423427432665876E-2</c:v>
                </c:pt>
                <c:pt idx="4">
                  <c:v>2.096647502562126E-2</c:v>
                </c:pt>
                <c:pt idx="5">
                  <c:v>3.2165330015425977E-4</c:v>
                </c:pt>
                <c:pt idx="6">
                  <c:v>8.9999999999999992E-5</c:v>
                </c:pt>
                <c:pt idx="7">
                  <c:v>8.308893957738565E-3</c:v>
                </c:pt>
                <c:pt idx="8">
                  <c:v>3.6139240099924627E-2</c:v>
                </c:pt>
                <c:pt idx="9">
                  <c:v>5.9842446891817516E-2</c:v>
                </c:pt>
                <c:pt idx="10">
                  <c:v>6.0699999999999997E-2</c:v>
                </c:pt>
                <c:pt idx="11">
                  <c:v>3.9754605327747224E-2</c:v>
                </c:pt>
                <c:pt idx="12">
                  <c:v>1.924708222661442E-17</c:v>
                </c:pt>
                <c:pt idx="13">
                  <c:v>-3.3957058717450722E-2</c:v>
                </c:pt>
                <c:pt idx="14">
                  <c:v>-4.8180000000000014E-2</c:v>
                </c:pt>
                <c:pt idx="15">
                  <c:v>-3.8989867914626226E-2</c:v>
                </c:pt>
                <c:pt idx="16">
                  <c:v>-1.9624135649755372E-2</c:v>
                </c:pt>
                <c:pt idx="17">
                  <c:v>-1.8545775864750111E-4</c:v>
                </c:pt>
                <c:pt idx="18">
                  <c:v>-7.7000000000000001E-5</c:v>
                </c:pt>
                <c:pt idx="19">
                  <c:v>-1.2614991291335234E-2</c:v>
                </c:pt>
                <c:pt idx="20">
                  <c:v>-3.7602823032320327E-2</c:v>
                </c:pt>
                <c:pt idx="21">
                  <c:v>-6.0217213485846403E-2</c:v>
                </c:pt>
                <c:pt idx="22">
                  <c:v>-6.0550000000000055E-2</c:v>
                </c:pt>
                <c:pt idx="23">
                  <c:v>-3.9754605327747175E-2</c:v>
                </c:pt>
                <c:pt idx="24">
                  <c:v>-3.8641182267817868E-17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BF4-AE43-D756A87AE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001423"/>
        <c:axId val="1838006703"/>
      </c:scatterChart>
      <c:valAx>
        <c:axId val="183800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8006703"/>
        <c:crosses val="autoZero"/>
        <c:crossBetween val="midCat"/>
      </c:valAx>
      <c:valAx>
        <c:axId val="18380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3800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18" Type="http://schemas.openxmlformats.org/officeDocument/2006/relationships/chart" Target="../charts/chart3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17" Type="http://schemas.openxmlformats.org/officeDocument/2006/relationships/chart" Target="../charts/chart33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20" Type="http://schemas.openxmlformats.org/officeDocument/2006/relationships/chart" Target="../charts/chart36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19" Type="http://schemas.openxmlformats.org/officeDocument/2006/relationships/chart" Target="../charts/chart35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13" Type="http://schemas.openxmlformats.org/officeDocument/2006/relationships/chart" Target="../charts/chart49.xml"/><Relationship Id="rId18" Type="http://schemas.openxmlformats.org/officeDocument/2006/relationships/chart" Target="../charts/chart5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17" Type="http://schemas.openxmlformats.org/officeDocument/2006/relationships/chart" Target="../charts/chart53.xml"/><Relationship Id="rId2" Type="http://schemas.openxmlformats.org/officeDocument/2006/relationships/chart" Target="../charts/chart38.xml"/><Relationship Id="rId16" Type="http://schemas.openxmlformats.org/officeDocument/2006/relationships/chart" Target="../charts/chart52.xml"/><Relationship Id="rId20" Type="http://schemas.openxmlformats.org/officeDocument/2006/relationships/chart" Target="../charts/chart56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5" Type="http://schemas.openxmlformats.org/officeDocument/2006/relationships/chart" Target="../charts/chart51.xml"/><Relationship Id="rId10" Type="http://schemas.openxmlformats.org/officeDocument/2006/relationships/chart" Target="../charts/chart46.xml"/><Relationship Id="rId19" Type="http://schemas.openxmlformats.org/officeDocument/2006/relationships/chart" Target="../charts/chart55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Relationship Id="rId14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59765</xdr:colOff>
      <xdr:row>42</xdr:row>
      <xdr:rowOff>63424</xdr:rowOff>
    </xdr:from>
    <xdr:to>
      <xdr:col>6</xdr:col>
      <xdr:colOff>491535</xdr:colOff>
      <xdr:row>55</xdr:row>
      <xdr:rowOff>156165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A9BAF-A3E8-4206-9E5F-B2F42035D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88564</xdr:colOff>
      <xdr:row>43</xdr:row>
      <xdr:rowOff>2440</xdr:rowOff>
    </xdr:from>
    <xdr:to>
      <xdr:col>15</xdr:col>
      <xdr:colOff>61595</xdr:colOff>
      <xdr:row>57</xdr:row>
      <xdr:rowOff>24743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A6605-C33F-4668-84C7-0F8BF4EEC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31847</xdr:colOff>
      <xdr:row>42</xdr:row>
      <xdr:rowOff>155511</xdr:rowOff>
    </xdr:from>
    <xdr:to>
      <xdr:col>22</xdr:col>
      <xdr:colOff>524162</xdr:colOff>
      <xdr:row>55</xdr:row>
      <xdr:rowOff>145531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A41D23-4BD8-40E2-86F7-BCE13968D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472405</xdr:colOff>
      <xdr:row>43</xdr:row>
      <xdr:rowOff>48522</xdr:rowOff>
    </xdr:from>
    <xdr:to>
      <xdr:col>30</xdr:col>
      <xdr:colOff>468665</xdr:colOff>
      <xdr:row>56</xdr:row>
      <xdr:rowOff>4880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C5539-EC60-4102-BBA7-7EAA77C95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595842</xdr:colOff>
      <xdr:row>42</xdr:row>
      <xdr:rowOff>160275</xdr:rowOff>
    </xdr:from>
    <xdr:to>
      <xdr:col>38</xdr:col>
      <xdr:colOff>344257</xdr:colOff>
      <xdr:row>55</xdr:row>
      <xdr:rowOff>29883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AC28CF-5623-4562-BC25-46475349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81534</xdr:colOff>
      <xdr:row>43</xdr:row>
      <xdr:rowOff>2902</xdr:rowOff>
    </xdr:from>
    <xdr:to>
      <xdr:col>46</xdr:col>
      <xdr:colOff>493059</xdr:colOff>
      <xdr:row>55</xdr:row>
      <xdr:rowOff>16771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8A1CB8-C5B9-4BC4-9C04-AFF25F4D3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159309</xdr:colOff>
      <xdr:row>43</xdr:row>
      <xdr:rowOff>90418</xdr:rowOff>
    </xdr:from>
    <xdr:to>
      <xdr:col>55</xdr:col>
      <xdr:colOff>180515</xdr:colOff>
      <xdr:row>56</xdr:row>
      <xdr:rowOff>3048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FEBA0B-B702-4428-8FBB-2B30C1097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372032</xdr:colOff>
      <xdr:row>42</xdr:row>
      <xdr:rowOff>118970</xdr:rowOff>
    </xdr:from>
    <xdr:to>
      <xdr:col>63</xdr:col>
      <xdr:colOff>319863</xdr:colOff>
      <xdr:row>55</xdr:row>
      <xdr:rowOff>110687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05F5C3-0668-4296-9DC0-9651622B5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209176</xdr:colOff>
      <xdr:row>58</xdr:row>
      <xdr:rowOff>55282</xdr:rowOff>
    </xdr:from>
    <xdr:to>
      <xdr:col>7</xdr:col>
      <xdr:colOff>403411</xdr:colOff>
      <xdr:row>73</xdr:row>
      <xdr:rowOff>109070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6633B2-DA72-4EB0-07E7-7851B6939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283882</xdr:colOff>
      <xdr:row>58</xdr:row>
      <xdr:rowOff>85164</xdr:rowOff>
    </xdr:from>
    <xdr:to>
      <xdr:col>15</xdr:col>
      <xdr:colOff>567764</xdr:colOff>
      <xdr:row>73</xdr:row>
      <xdr:rowOff>138952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C97D83-9433-4EC9-74E0-5E57EA9DF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239059</xdr:colOff>
      <xdr:row>58</xdr:row>
      <xdr:rowOff>55282</xdr:rowOff>
    </xdr:from>
    <xdr:to>
      <xdr:col>23</xdr:col>
      <xdr:colOff>522942</xdr:colOff>
      <xdr:row>73</xdr:row>
      <xdr:rowOff>109070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F67991-0FC8-3159-FF56-17BC8F1A2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164352</xdr:colOff>
      <xdr:row>57</xdr:row>
      <xdr:rowOff>144928</xdr:rowOff>
    </xdr:from>
    <xdr:to>
      <xdr:col>31</xdr:col>
      <xdr:colOff>448235</xdr:colOff>
      <xdr:row>73</xdr:row>
      <xdr:rowOff>19422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E813B0-C81D-14A1-B136-F0B1E5D1A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164352</xdr:colOff>
      <xdr:row>57</xdr:row>
      <xdr:rowOff>159869</xdr:rowOff>
    </xdr:from>
    <xdr:to>
      <xdr:col>39</xdr:col>
      <xdr:colOff>448235</xdr:colOff>
      <xdr:row>73</xdr:row>
      <xdr:rowOff>34363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4034FC6-5DC2-2B42-D3E8-080007B9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89648</xdr:colOff>
      <xdr:row>57</xdr:row>
      <xdr:rowOff>40341</xdr:rowOff>
    </xdr:from>
    <xdr:to>
      <xdr:col>47</xdr:col>
      <xdr:colOff>373530</xdr:colOff>
      <xdr:row>72</xdr:row>
      <xdr:rowOff>94130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C0E5AE0-6DB0-D421-2099-0E21FA2DF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254000</xdr:colOff>
      <xdr:row>56</xdr:row>
      <xdr:rowOff>174810</xdr:rowOff>
    </xdr:from>
    <xdr:to>
      <xdr:col>55</xdr:col>
      <xdr:colOff>537882</xdr:colOff>
      <xdr:row>72</xdr:row>
      <xdr:rowOff>49305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32FE0A-39F8-B8C7-99B9-C5B543A7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493059</xdr:colOff>
      <xdr:row>56</xdr:row>
      <xdr:rowOff>159870</xdr:rowOff>
    </xdr:from>
    <xdr:to>
      <xdr:col>64</xdr:col>
      <xdr:colOff>164353</xdr:colOff>
      <xdr:row>72</xdr:row>
      <xdr:rowOff>34365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4CC8772-45F3-97E1-78D5-E15AC3BDF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59765</xdr:colOff>
      <xdr:row>42</xdr:row>
      <xdr:rowOff>63424</xdr:rowOff>
    </xdr:from>
    <xdr:to>
      <xdr:col>6</xdr:col>
      <xdr:colOff>491535</xdr:colOff>
      <xdr:row>55</xdr:row>
      <xdr:rowOff>156165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EE64D-A965-4089-BB95-D2D394E72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88564</xdr:colOff>
      <xdr:row>43</xdr:row>
      <xdr:rowOff>2440</xdr:rowOff>
    </xdr:from>
    <xdr:to>
      <xdr:col>15</xdr:col>
      <xdr:colOff>61595</xdr:colOff>
      <xdr:row>57</xdr:row>
      <xdr:rowOff>24743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41E2AF-D031-416C-86E9-EE2F590F8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31847</xdr:colOff>
      <xdr:row>42</xdr:row>
      <xdr:rowOff>155511</xdr:rowOff>
    </xdr:from>
    <xdr:to>
      <xdr:col>22</xdr:col>
      <xdr:colOff>524162</xdr:colOff>
      <xdr:row>55</xdr:row>
      <xdr:rowOff>145531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2BF468-8AA1-4EAB-8E71-F496F3D89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472405</xdr:colOff>
      <xdr:row>43</xdr:row>
      <xdr:rowOff>48522</xdr:rowOff>
    </xdr:from>
    <xdr:to>
      <xdr:col>30</xdr:col>
      <xdr:colOff>468665</xdr:colOff>
      <xdr:row>56</xdr:row>
      <xdr:rowOff>4880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C6183E-4DE2-4498-A606-2E48BF2D6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595842</xdr:colOff>
      <xdr:row>42</xdr:row>
      <xdr:rowOff>160275</xdr:rowOff>
    </xdr:from>
    <xdr:to>
      <xdr:col>38</xdr:col>
      <xdr:colOff>344257</xdr:colOff>
      <xdr:row>55</xdr:row>
      <xdr:rowOff>29883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66FA53-F721-439E-9057-2439D2501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81534</xdr:colOff>
      <xdr:row>43</xdr:row>
      <xdr:rowOff>2902</xdr:rowOff>
    </xdr:from>
    <xdr:to>
      <xdr:col>46</xdr:col>
      <xdr:colOff>493059</xdr:colOff>
      <xdr:row>55</xdr:row>
      <xdr:rowOff>16771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3CA432-8736-4531-9376-5C234D9D6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159309</xdr:colOff>
      <xdr:row>43</xdr:row>
      <xdr:rowOff>90418</xdr:rowOff>
    </xdr:from>
    <xdr:to>
      <xdr:col>55</xdr:col>
      <xdr:colOff>180515</xdr:colOff>
      <xdr:row>56</xdr:row>
      <xdr:rowOff>3048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1ABFE1-441A-4101-A4D7-7B7FAF70E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372032</xdr:colOff>
      <xdr:row>42</xdr:row>
      <xdr:rowOff>118970</xdr:rowOff>
    </xdr:from>
    <xdr:to>
      <xdr:col>63</xdr:col>
      <xdr:colOff>319863</xdr:colOff>
      <xdr:row>55</xdr:row>
      <xdr:rowOff>110687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E909DF-E901-417A-8ADB-EAA40B56D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209176</xdr:colOff>
      <xdr:row>58</xdr:row>
      <xdr:rowOff>55282</xdr:rowOff>
    </xdr:from>
    <xdr:to>
      <xdr:col>7</xdr:col>
      <xdr:colOff>403411</xdr:colOff>
      <xdr:row>73</xdr:row>
      <xdr:rowOff>109070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E663A9-4858-459D-9B8E-7D4EE51E1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283882</xdr:colOff>
      <xdr:row>58</xdr:row>
      <xdr:rowOff>85164</xdr:rowOff>
    </xdr:from>
    <xdr:to>
      <xdr:col>15</xdr:col>
      <xdr:colOff>567764</xdr:colOff>
      <xdr:row>73</xdr:row>
      <xdr:rowOff>138952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CAC6BB-E902-44B4-A8BF-31D95A10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239059</xdr:colOff>
      <xdr:row>57</xdr:row>
      <xdr:rowOff>162858</xdr:rowOff>
    </xdr:from>
    <xdr:to>
      <xdr:col>23</xdr:col>
      <xdr:colOff>522942</xdr:colOff>
      <xdr:row>80</xdr:row>
      <xdr:rowOff>80683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E9687F-1784-4C9C-A017-BA99550D9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164352</xdr:colOff>
      <xdr:row>57</xdr:row>
      <xdr:rowOff>144928</xdr:rowOff>
    </xdr:from>
    <xdr:to>
      <xdr:col>31</xdr:col>
      <xdr:colOff>448235</xdr:colOff>
      <xdr:row>73</xdr:row>
      <xdr:rowOff>19422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9B19D4-FA68-454A-BF76-37F5C3697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164352</xdr:colOff>
      <xdr:row>57</xdr:row>
      <xdr:rowOff>159869</xdr:rowOff>
    </xdr:from>
    <xdr:to>
      <xdr:col>39</xdr:col>
      <xdr:colOff>448235</xdr:colOff>
      <xdr:row>73</xdr:row>
      <xdr:rowOff>34363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71FBF4-7715-4B5B-8AC8-4016467C8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89648</xdr:colOff>
      <xdr:row>57</xdr:row>
      <xdr:rowOff>40341</xdr:rowOff>
    </xdr:from>
    <xdr:to>
      <xdr:col>47</xdr:col>
      <xdr:colOff>373530</xdr:colOff>
      <xdr:row>72</xdr:row>
      <xdr:rowOff>94130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DE5C68-DFED-4A1B-ABF4-E480D933E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254000</xdr:colOff>
      <xdr:row>56</xdr:row>
      <xdr:rowOff>174809</xdr:rowOff>
    </xdr:from>
    <xdr:to>
      <xdr:col>55</xdr:col>
      <xdr:colOff>537882</xdr:colOff>
      <xdr:row>79</xdr:row>
      <xdr:rowOff>19792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47B5782-7938-4A6C-A67C-7730F0C46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493059</xdr:colOff>
      <xdr:row>56</xdr:row>
      <xdr:rowOff>159870</xdr:rowOff>
    </xdr:from>
    <xdr:to>
      <xdr:col>64</xdr:col>
      <xdr:colOff>164353</xdr:colOff>
      <xdr:row>72</xdr:row>
      <xdr:rowOff>34365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379885-A5FF-453B-A5FA-CA9842E3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67</xdr:col>
      <xdr:colOff>4478</xdr:colOff>
      <xdr:row>40</xdr:row>
      <xdr:rowOff>134470</xdr:rowOff>
    </xdr:from>
    <xdr:to>
      <xdr:col>72</xdr:col>
      <xdr:colOff>561909</xdr:colOff>
      <xdr:row>53</xdr:row>
      <xdr:rowOff>126187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B286652-8F4A-4F60-95F6-FEE6F202C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37239</xdr:colOff>
      <xdr:row>55</xdr:row>
      <xdr:rowOff>17929</xdr:rowOff>
    </xdr:from>
    <xdr:to>
      <xdr:col>73</xdr:col>
      <xdr:colOff>342039</xdr:colOff>
      <xdr:row>70</xdr:row>
      <xdr:rowOff>71716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7A8FF33-332E-9CA2-6E2E-E804D1C46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74</xdr:col>
      <xdr:colOff>386038</xdr:colOff>
      <xdr:row>40</xdr:row>
      <xdr:rowOff>89301</xdr:rowOff>
    </xdr:from>
    <xdr:to>
      <xdr:col>82</xdr:col>
      <xdr:colOff>89170</xdr:colOff>
      <xdr:row>55</xdr:row>
      <xdr:rowOff>59243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50755A-B0F9-65BA-FB1F-2457D9D99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74</xdr:col>
      <xdr:colOff>405976</xdr:colOff>
      <xdr:row>57</xdr:row>
      <xdr:rowOff>27080</xdr:rowOff>
    </xdr:from>
    <xdr:to>
      <xdr:col>82</xdr:col>
      <xdr:colOff>117653</xdr:colOff>
      <xdr:row>71</xdr:row>
      <xdr:rowOff>168350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E4F8930-E2BB-26C8-2E26-AE8BF0D3E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59765</xdr:colOff>
      <xdr:row>42</xdr:row>
      <xdr:rowOff>63424</xdr:rowOff>
    </xdr:from>
    <xdr:to>
      <xdr:col>6</xdr:col>
      <xdr:colOff>491535</xdr:colOff>
      <xdr:row>55</xdr:row>
      <xdr:rowOff>156165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54189-9789-418B-98F4-99890E6EF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88564</xdr:colOff>
      <xdr:row>43</xdr:row>
      <xdr:rowOff>2440</xdr:rowOff>
    </xdr:from>
    <xdr:to>
      <xdr:col>15</xdr:col>
      <xdr:colOff>61595</xdr:colOff>
      <xdr:row>57</xdr:row>
      <xdr:rowOff>24743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4C0C6E-629B-4974-9F4D-CDFC6FD1C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31847</xdr:colOff>
      <xdr:row>42</xdr:row>
      <xdr:rowOff>155511</xdr:rowOff>
    </xdr:from>
    <xdr:to>
      <xdr:col>22</xdr:col>
      <xdr:colOff>524162</xdr:colOff>
      <xdr:row>55</xdr:row>
      <xdr:rowOff>145531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998119-0EF3-4EDA-BE0B-51F9CE74B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472405</xdr:colOff>
      <xdr:row>43</xdr:row>
      <xdr:rowOff>48522</xdr:rowOff>
    </xdr:from>
    <xdr:to>
      <xdr:col>30</xdr:col>
      <xdr:colOff>468665</xdr:colOff>
      <xdr:row>56</xdr:row>
      <xdr:rowOff>4880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3D56D5-4619-452B-8756-9F87E7260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595842</xdr:colOff>
      <xdr:row>42</xdr:row>
      <xdr:rowOff>160275</xdr:rowOff>
    </xdr:from>
    <xdr:to>
      <xdr:col>38</xdr:col>
      <xdr:colOff>344257</xdr:colOff>
      <xdr:row>55</xdr:row>
      <xdr:rowOff>29883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BF4B56-C4CD-4D53-B9E0-B5A50F19B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81534</xdr:colOff>
      <xdr:row>43</xdr:row>
      <xdr:rowOff>2902</xdr:rowOff>
    </xdr:from>
    <xdr:to>
      <xdr:col>46</xdr:col>
      <xdr:colOff>493059</xdr:colOff>
      <xdr:row>55</xdr:row>
      <xdr:rowOff>16771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7A67A2-DA56-45E6-8D9F-FE4BFF8AA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159309</xdr:colOff>
      <xdr:row>43</xdr:row>
      <xdr:rowOff>90418</xdr:rowOff>
    </xdr:from>
    <xdr:to>
      <xdr:col>55</xdr:col>
      <xdr:colOff>180515</xdr:colOff>
      <xdr:row>56</xdr:row>
      <xdr:rowOff>3048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F25F24-A5C6-43EC-A09C-DFA89207B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372032</xdr:colOff>
      <xdr:row>42</xdr:row>
      <xdr:rowOff>118970</xdr:rowOff>
    </xdr:from>
    <xdr:to>
      <xdr:col>63</xdr:col>
      <xdr:colOff>319863</xdr:colOff>
      <xdr:row>55</xdr:row>
      <xdr:rowOff>110687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3EA6CE-0A7D-4D55-861E-7AB09834B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209176</xdr:colOff>
      <xdr:row>58</xdr:row>
      <xdr:rowOff>55282</xdr:rowOff>
    </xdr:from>
    <xdr:to>
      <xdr:col>7</xdr:col>
      <xdr:colOff>403411</xdr:colOff>
      <xdr:row>73</xdr:row>
      <xdr:rowOff>109070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DE5221-1D36-4F1C-AD78-46AFF2B39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283882</xdr:colOff>
      <xdr:row>58</xdr:row>
      <xdr:rowOff>85164</xdr:rowOff>
    </xdr:from>
    <xdr:to>
      <xdr:col>15</xdr:col>
      <xdr:colOff>567764</xdr:colOff>
      <xdr:row>73</xdr:row>
      <xdr:rowOff>138952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A4637E-B48D-42C6-AA77-F8D71902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239059</xdr:colOff>
      <xdr:row>57</xdr:row>
      <xdr:rowOff>162858</xdr:rowOff>
    </xdr:from>
    <xdr:to>
      <xdr:col>23</xdr:col>
      <xdr:colOff>522942</xdr:colOff>
      <xdr:row>80</xdr:row>
      <xdr:rowOff>80683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62F2E2B-AA12-492F-A186-4B1285942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164352</xdr:colOff>
      <xdr:row>57</xdr:row>
      <xdr:rowOff>144928</xdr:rowOff>
    </xdr:from>
    <xdr:to>
      <xdr:col>31</xdr:col>
      <xdr:colOff>448235</xdr:colOff>
      <xdr:row>73</xdr:row>
      <xdr:rowOff>19422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B4A2B3-506E-485A-A5C8-19FBE7DC3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164352</xdr:colOff>
      <xdr:row>57</xdr:row>
      <xdr:rowOff>159869</xdr:rowOff>
    </xdr:from>
    <xdr:to>
      <xdr:col>39</xdr:col>
      <xdr:colOff>448235</xdr:colOff>
      <xdr:row>73</xdr:row>
      <xdr:rowOff>34363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3323B4A-CE22-4A04-8E6F-0FD9113DD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89648</xdr:colOff>
      <xdr:row>57</xdr:row>
      <xdr:rowOff>40341</xdr:rowOff>
    </xdr:from>
    <xdr:to>
      <xdr:col>47</xdr:col>
      <xdr:colOff>373530</xdr:colOff>
      <xdr:row>72</xdr:row>
      <xdr:rowOff>94130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B4F78E-1A87-4E22-9984-22B2032EA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254000</xdr:colOff>
      <xdr:row>56</xdr:row>
      <xdr:rowOff>174809</xdr:rowOff>
    </xdr:from>
    <xdr:to>
      <xdr:col>55</xdr:col>
      <xdr:colOff>537882</xdr:colOff>
      <xdr:row>79</xdr:row>
      <xdr:rowOff>19792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7ADA38-A50E-4A24-88BA-50317D619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493059</xdr:colOff>
      <xdr:row>56</xdr:row>
      <xdr:rowOff>159870</xdr:rowOff>
    </xdr:from>
    <xdr:to>
      <xdr:col>64</xdr:col>
      <xdr:colOff>164353</xdr:colOff>
      <xdr:row>72</xdr:row>
      <xdr:rowOff>34365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332F388-E6A6-447B-BE6B-389A86F7B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67</xdr:col>
      <xdr:colOff>4478</xdr:colOff>
      <xdr:row>40</xdr:row>
      <xdr:rowOff>134470</xdr:rowOff>
    </xdr:from>
    <xdr:to>
      <xdr:col>72</xdr:col>
      <xdr:colOff>561909</xdr:colOff>
      <xdr:row>53</xdr:row>
      <xdr:rowOff>126187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DAD1E3F-CD51-40ED-BB2C-90B684C0B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37239</xdr:colOff>
      <xdr:row>55</xdr:row>
      <xdr:rowOff>17929</xdr:rowOff>
    </xdr:from>
    <xdr:to>
      <xdr:col>73</xdr:col>
      <xdr:colOff>342039</xdr:colOff>
      <xdr:row>70</xdr:row>
      <xdr:rowOff>71716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FCFFCED-4308-436E-935B-DEAFF89BA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74</xdr:col>
      <xdr:colOff>386038</xdr:colOff>
      <xdr:row>40</xdr:row>
      <xdr:rowOff>89301</xdr:rowOff>
    </xdr:from>
    <xdr:to>
      <xdr:col>82</xdr:col>
      <xdr:colOff>89170</xdr:colOff>
      <xdr:row>55</xdr:row>
      <xdr:rowOff>59243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AF4CB21-645D-4A0E-B933-657FC13D0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74</xdr:col>
      <xdr:colOff>405976</xdr:colOff>
      <xdr:row>57</xdr:row>
      <xdr:rowOff>27080</xdr:rowOff>
    </xdr:from>
    <xdr:to>
      <xdr:col>82</xdr:col>
      <xdr:colOff>117653</xdr:colOff>
      <xdr:row>71</xdr:row>
      <xdr:rowOff>168350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D121CB0-8589-4893-AB4C-5F67A8178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54C1-2724-4B1E-A89E-DAEDC9FDEFE8}">
  <dimension ref="A1:CB65"/>
  <sheetViews>
    <sheetView topLeftCell="A31" zoomScale="51" workbookViewId="0">
      <selection activeCell="BK4" sqref="BK4:BL41"/>
    </sheetView>
  </sheetViews>
  <sheetFormatPr defaultRowHeight="14.4" x14ac:dyDescent="0.3"/>
  <cols>
    <col min="1" max="1" width="10.109375" bestFit="1" customWidth="1"/>
    <col min="2" max="2" width="3.6640625" customWidth="1"/>
    <col min="3" max="3" width="4.109375" customWidth="1"/>
    <col min="4" max="4" width="3.6640625" customWidth="1"/>
    <col min="5" max="6" width="5.6640625" customWidth="1"/>
    <col min="7" max="7" width="16.21875" customWidth="1"/>
    <col min="8" max="8" width="15.33203125" customWidth="1"/>
    <col min="9" max="9" width="3.109375" customWidth="1"/>
    <col min="10" max="10" width="3.6640625" customWidth="1"/>
    <col min="11" max="11" width="4.109375" customWidth="1"/>
    <col min="12" max="12" width="3.6640625" customWidth="1"/>
    <col min="13" max="14" width="5.6640625" customWidth="1"/>
    <col min="15" max="15" width="15.88671875" customWidth="1"/>
    <col min="16" max="16" width="15.33203125" customWidth="1"/>
    <col min="17" max="17" width="3.109375" customWidth="1"/>
    <col min="18" max="18" width="3.6640625" customWidth="1"/>
    <col min="19" max="19" width="4.109375" customWidth="1"/>
    <col min="20" max="20" width="3.6640625" customWidth="1"/>
    <col min="21" max="22" width="5.6640625" customWidth="1"/>
    <col min="23" max="23" width="15.88671875" customWidth="1"/>
    <col min="24" max="24" width="14.33203125" customWidth="1"/>
    <col min="25" max="25" width="3.109375" customWidth="1"/>
    <col min="26" max="26" width="3.6640625" customWidth="1"/>
    <col min="27" max="27" width="4.109375" customWidth="1"/>
    <col min="28" max="28" width="3.6640625" customWidth="1"/>
    <col min="29" max="29" width="6.6640625" customWidth="1"/>
    <col min="30" max="30" width="5.6640625" customWidth="1"/>
    <col min="31" max="31" width="15.88671875" customWidth="1"/>
    <col min="32" max="32" width="15.33203125" customWidth="1"/>
    <col min="33" max="33" width="3.109375" customWidth="1"/>
    <col min="34" max="34" width="3.6640625" customWidth="1"/>
    <col min="35" max="35" width="4.109375" customWidth="1"/>
    <col min="36" max="36" width="3.6640625" customWidth="1"/>
    <col min="37" max="37" width="6.6640625" customWidth="1"/>
    <col min="38" max="38" width="5.6640625" customWidth="1"/>
    <col min="39" max="39" width="16.21875" customWidth="1"/>
    <col min="40" max="40" width="15.33203125" customWidth="1"/>
    <col min="41" max="41" width="4.109375" customWidth="1"/>
    <col min="42" max="42" width="3.6640625" customWidth="1"/>
    <col min="43" max="43" width="4.109375" customWidth="1"/>
    <col min="44" max="44" width="3.6640625" customWidth="1"/>
    <col min="45" max="45" width="6.6640625" customWidth="1"/>
    <col min="46" max="46" width="5.6640625" customWidth="1"/>
    <col min="47" max="47" width="15.88671875" customWidth="1"/>
    <col min="48" max="48" width="15.33203125" customWidth="1"/>
    <col min="49" max="49" width="4.109375" customWidth="1"/>
    <col min="50" max="50" width="3.6640625" customWidth="1"/>
    <col min="51" max="51" width="4.109375" customWidth="1"/>
    <col min="52" max="52" width="3.6640625" customWidth="1"/>
    <col min="53" max="54" width="5.6640625" customWidth="1"/>
    <col min="55" max="55" width="15.88671875" customWidth="1"/>
    <col min="56" max="56" width="15.33203125" customWidth="1"/>
    <col min="57" max="57" width="4.109375" customWidth="1"/>
    <col min="58" max="58" width="3.6640625" customWidth="1"/>
    <col min="59" max="59" width="4.109375" customWidth="1"/>
    <col min="60" max="60" width="3.6640625" customWidth="1"/>
    <col min="61" max="62" width="5.6640625" customWidth="1"/>
    <col min="63" max="63" width="15.88671875" customWidth="1"/>
    <col min="64" max="64" width="15.33203125" customWidth="1"/>
    <col min="65" max="65" width="4.109375" customWidth="1"/>
    <col min="66" max="66" width="3.6640625" customWidth="1"/>
    <col min="67" max="67" width="4.109375" customWidth="1"/>
    <col min="68" max="68" width="3.6640625" customWidth="1"/>
    <col min="69" max="70" width="5.6640625" customWidth="1"/>
    <col min="71" max="72" width="15.88671875" customWidth="1"/>
    <col min="73" max="73" width="4.109375" customWidth="1"/>
    <col min="74" max="74" width="3.6640625" customWidth="1"/>
    <col min="75" max="75" width="4.109375" customWidth="1"/>
    <col min="76" max="76" width="3.6640625" customWidth="1"/>
    <col min="77" max="78" width="5.6640625" customWidth="1"/>
    <col min="79" max="79" width="15.88671875" customWidth="1"/>
    <col min="80" max="80" width="16.21875" customWidth="1"/>
  </cols>
  <sheetData>
    <row r="1" spans="1:80" x14ac:dyDescent="0.3">
      <c r="A1" s="1">
        <v>0</v>
      </c>
      <c r="B1">
        <v>0.5</v>
      </c>
      <c r="C1">
        <v>0</v>
      </c>
      <c r="D1">
        <v>0.5</v>
      </c>
      <c r="E1">
        <v>160.30000000000001</v>
      </c>
      <c r="F1">
        <v>6.4000000000000001E-2</v>
      </c>
      <c r="G1">
        <v>0.1603</v>
      </c>
      <c r="H1">
        <v>0</v>
      </c>
      <c r="I1">
        <v>30</v>
      </c>
      <c r="J1">
        <v>0.5</v>
      </c>
      <c r="K1">
        <v>0</v>
      </c>
      <c r="L1">
        <v>0.5</v>
      </c>
      <c r="M1">
        <v>117.4</v>
      </c>
      <c r="N1">
        <v>6.4000000000000001E-2</v>
      </c>
      <c r="O1">
        <v>0.1174</v>
      </c>
      <c r="P1">
        <v>0</v>
      </c>
      <c r="Q1">
        <v>45</v>
      </c>
      <c r="R1">
        <v>0.5</v>
      </c>
      <c r="S1">
        <v>0</v>
      </c>
      <c r="T1">
        <v>0.5</v>
      </c>
      <c r="U1">
        <v>81.819999999999993</v>
      </c>
      <c r="V1">
        <v>6.4000000000000001E-2</v>
      </c>
      <c r="W1">
        <v>8.181999999999999E-2</v>
      </c>
      <c r="X1">
        <v>0</v>
      </c>
      <c r="Y1">
        <v>60</v>
      </c>
      <c r="Z1">
        <v>0.5</v>
      </c>
      <c r="AA1">
        <v>0</v>
      </c>
      <c r="AB1">
        <v>0.5</v>
      </c>
      <c r="AC1">
        <v>102.1</v>
      </c>
      <c r="AD1">
        <v>6.4000000000000001E-2</v>
      </c>
      <c r="AE1">
        <v>0.1021</v>
      </c>
      <c r="AF1">
        <v>0</v>
      </c>
      <c r="AG1">
        <v>90</v>
      </c>
      <c r="AH1">
        <v>0.5</v>
      </c>
      <c r="AI1">
        <v>0</v>
      </c>
      <c r="AJ1">
        <v>0.5</v>
      </c>
      <c r="AK1">
        <v>156.1</v>
      </c>
      <c r="AL1">
        <v>6.4000000000000001E-2</v>
      </c>
      <c r="AM1">
        <v>0.15609999999999999</v>
      </c>
      <c r="AN1">
        <v>0</v>
      </c>
      <c r="AO1">
        <v>-30</v>
      </c>
      <c r="AP1">
        <v>0.5</v>
      </c>
      <c r="AQ1">
        <v>0</v>
      </c>
      <c r="AR1">
        <v>0.5</v>
      </c>
      <c r="AS1">
        <v>81.709999999999994</v>
      </c>
      <c r="AT1">
        <v>6.4000000000000001E-2</v>
      </c>
      <c r="AU1">
        <v>8.1709999999999991E-2</v>
      </c>
      <c r="AV1">
        <v>0</v>
      </c>
      <c r="AW1">
        <v>-45</v>
      </c>
      <c r="AX1">
        <v>0.5</v>
      </c>
      <c r="AY1">
        <v>0</v>
      </c>
      <c r="AZ1">
        <v>0.5</v>
      </c>
      <c r="BA1">
        <v>80.22</v>
      </c>
      <c r="BB1">
        <v>6.4000000000000001E-2</v>
      </c>
      <c r="BC1">
        <v>8.022E-2</v>
      </c>
      <c r="BD1">
        <v>0</v>
      </c>
      <c r="BE1">
        <v>-60</v>
      </c>
      <c r="BF1">
        <v>0.5</v>
      </c>
      <c r="BG1">
        <v>0</v>
      </c>
      <c r="BH1">
        <v>0.5</v>
      </c>
      <c r="BI1">
        <v>115.1</v>
      </c>
      <c r="BJ1">
        <v>6.4000000000000001E-2</v>
      </c>
      <c r="BK1">
        <v>0.11509999999999999</v>
      </c>
      <c r="BL1">
        <v>0</v>
      </c>
      <c r="BM1">
        <v>180</v>
      </c>
      <c r="BN1">
        <v>0.5</v>
      </c>
      <c r="BO1">
        <v>0</v>
      </c>
      <c r="BP1">
        <v>0.5</v>
      </c>
      <c r="BQ1">
        <v>159</v>
      </c>
      <c r="BR1">
        <v>6.4000000000000001E-2</v>
      </c>
      <c r="BS1">
        <v>0.159</v>
      </c>
      <c r="BT1">
        <v>0</v>
      </c>
      <c r="BU1">
        <v>270</v>
      </c>
      <c r="BV1">
        <v>0.5</v>
      </c>
      <c r="BW1">
        <v>0</v>
      </c>
      <c r="BX1">
        <v>0.5</v>
      </c>
      <c r="BY1">
        <v>155.5</v>
      </c>
      <c r="BZ1">
        <v>6.4000000000000001E-2</v>
      </c>
      <c r="CA1">
        <v>0.1555</v>
      </c>
      <c r="CB1">
        <v>0</v>
      </c>
    </row>
    <row r="2" spans="1:80" x14ac:dyDescent="0.3">
      <c r="C2">
        <v>15</v>
      </c>
      <c r="E2">
        <v>150.30000000000001</v>
      </c>
      <c r="F2">
        <v>6.4000000000000001E-2</v>
      </c>
      <c r="G2">
        <v>0.145178651691247</v>
      </c>
      <c r="H2">
        <v>3.8900502478908874E-2</v>
      </c>
      <c r="K2">
        <v>15</v>
      </c>
      <c r="M2">
        <v>120.1</v>
      </c>
      <c r="N2">
        <v>6.4000000000000001E-2</v>
      </c>
      <c r="O2">
        <v>0.11600769173731711</v>
      </c>
      <c r="P2">
        <v>3.1084167316812742E-2</v>
      </c>
      <c r="S2">
        <v>15</v>
      </c>
      <c r="U2">
        <v>83.63</v>
      </c>
      <c r="V2">
        <v>6.4000000000000001E-2</v>
      </c>
      <c r="W2">
        <v>8.0780376852554778E-2</v>
      </c>
      <c r="X2">
        <v>2.164503674192381E-2</v>
      </c>
      <c r="AA2">
        <v>15</v>
      </c>
      <c r="AC2">
        <v>81.11</v>
      </c>
      <c r="AD2">
        <v>6.4000000000000001E-2</v>
      </c>
      <c r="AE2">
        <v>7.8346243770306329E-2</v>
      </c>
      <c r="AF2">
        <v>2.0992812748265456E-2</v>
      </c>
      <c r="AI2">
        <v>15</v>
      </c>
      <c r="AK2">
        <v>136</v>
      </c>
      <c r="AL2">
        <v>6.4000000000000001E-2</v>
      </c>
      <c r="AM2">
        <v>0.13136591237531331</v>
      </c>
      <c r="AN2">
        <v>3.5199390133942826E-2</v>
      </c>
      <c r="AO2">
        <v>330</v>
      </c>
      <c r="AQ2">
        <v>15</v>
      </c>
      <c r="AS2">
        <v>69.12</v>
      </c>
      <c r="AT2">
        <v>6.4000000000000001E-2</v>
      </c>
      <c r="AU2">
        <v>6.6764793113100407E-2</v>
      </c>
      <c r="AV2">
        <v>1.7889572397486234E-2</v>
      </c>
      <c r="AW2">
        <v>315</v>
      </c>
      <c r="AY2">
        <v>15</v>
      </c>
      <c r="BA2">
        <v>80.099999999999994</v>
      </c>
      <c r="BB2">
        <v>6.4000000000000001E-2</v>
      </c>
      <c r="BC2">
        <v>7.7370658685754365E-2</v>
      </c>
      <c r="BD2">
        <v>2.0731405512711909E-2</v>
      </c>
      <c r="BE2">
        <v>300</v>
      </c>
      <c r="BG2">
        <v>15</v>
      </c>
      <c r="BI2">
        <v>119.9</v>
      </c>
      <c r="BJ2">
        <v>6.4000000000000001E-2</v>
      </c>
      <c r="BK2">
        <v>0.1158145065720593</v>
      </c>
      <c r="BL2">
        <v>3.1032403507792239E-2</v>
      </c>
      <c r="BO2">
        <v>15</v>
      </c>
      <c r="BQ2">
        <v>128.6</v>
      </c>
      <c r="BR2">
        <v>6.4000000000000001E-2</v>
      </c>
      <c r="BS2">
        <v>0.12421806126077417</v>
      </c>
      <c r="BT2">
        <v>3.3284129200184163E-2</v>
      </c>
      <c r="BU2">
        <v>-90</v>
      </c>
      <c r="BW2">
        <v>15</v>
      </c>
      <c r="BY2">
        <v>129.30000000000001</v>
      </c>
      <c r="BZ2">
        <v>6.4000000000000001E-2</v>
      </c>
      <c r="CA2">
        <v>0.12489420933917653</v>
      </c>
      <c r="CB2">
        <v>3.3465302531755933E-2</v>
      </c>
    </row>
    <row r="3" spans="1:80" x14ac:dyDescent="0.3">
      <c r="C3">
        <v>30</v>
      </c>
      <c r="E3">
        <v>118.6</v>
      </c>
      <c r="F3">
        <v>6.4000000000000001E-2</v>
      </c>
      <c r="G3">
        <v>0.10271061288883443</v>
      </c>
      <c r="H3">
        <v>5.9299999999999992E-2</v>
      </c>
      <c r="K3">
        <v>30</v>
      </c>
      <c r="M3">
        <v>119.9</v>
      </c>
      <c r="N3">
        <v>6.4000000000000001E-2</v>
      </c>
      <c r="O3">
        <v>0.10383644591375421</v>
      </c>
      <c r="P3">
        <v>5.9949999999999996E-2</v>
      </c>
      <c r="S3">
        <v>30</v>
      </c>
      <c r="U3">
        <v>82.12</v>
      </c>
      <c r="V3">
        <v>6.4000000000000001E-2</v>
      </c>
      <c r="W3">
        <v>7.1118006158778099E-2</v>
      </c>
      <c r="X3">
        <v>4.1059999999999992E-2</v>
      </c>
      <c r="AA3">
        <v>30</v>
      </c>
      <c r="AC3">
        <v>73.13</v>
      </c>
      <c r="AD3">
        <v>6.4000000000000001E-2</v>
      </c>
      <c r="AE3">
        <v>6.3332437778756009E-2</v>
      </c>
      <c r="AF3">
        <v>3.6564999999999993E-2</v>
      </c>
      <c r="AI3">
        <v>30</v>
      </c>
      <c r="AK3">
        <v>114.2</v>
      </c>
      <c r="AL3">
        <v>6.4000000000000001E-2</v>
      </c>
      <c r="AM3">
        <v>9.8900101112182892E-2</v>
      </c>
      <c r="AN3">
        <v>5.7099999999999991E-2</v>
      </c>
      <c r="AQ3">
        <v>30</v>
      </c>
      <c r="AS3">
        <v>46.3</v>
      </c>
      <c r="AT3">
        <v>6.4000000000000001E-2</v>
      </c>
      <c r="AU3">
        <v>4.0096976195219507E-2</v>
      </c>
      <c r="AV3">
        <v>2.3149999999999993E-2</v>
      </c>
      <c r="AY3">
        <v>30</v>
      </c>
      <c r="BA3">
        <v>80.150000000000006</v>
      </c>
      <c r="BB3">
        <v>6.4000000000000001E-2</v>
      </c>
      <c r="BC3">
        <v>6.9411936113322761E-2</v>
      </c>
      <c r="BD3">
        <v>4.0074999999999993E-2</v>
      </c>
      <c r="BG3">
        <v>30</v>
      </c>
      <c r="BI3">
        <v>119.2</v>
      </c>
      <c r="BJ3">
        <v>6.4000000000000001E-2</v>
      </c>
      <c r="BK3">
        <v>0.10323022813110509</v>
      </c>
      <c r="BL3">
        <v>5.9599999999999993E-2</v>
      </c>
      <c r="BO3">
        <v>30</v>
      </c>
      <c r="BQ3">
        <v>94.66</v>
      </c>
      <c r="BR3">
        <v>6.4000000000000001E-2</v>
      </c>
      <c r="BS3">
        <v>8.1977964722234967E-2</v>
      </c>
      <c r="BT3">
        <v>4.732999999999999E-2</v>
      </c>
      <c r="BW3">
        <v>30</v>
      </c>
      <c r="BY3">
        <v>107.6</v>
      </c>
      <c r="BZ3">
        <v>6.4000000000000001E-2</v>
      </c>
      <c r="CA3">
        <v>9.31843334472056E-2</v>
      </c>
      <c r="CB3">
        <v>5.3799999999999994E-2</v>
      </c>
    </row>
    <row r="4" spans="1:80" x14ac:dyDescent="0.3">
      <c r="A4" s="2"/>
      <c r="B4" s="2"/>
      <c r="C4" s="2">
        <v>45</v>
      </c>
      <c r="D4" s="2"/>
      <c r="E4" s="2">
        <v>77.48</v>
      </c>
      <c r="F4" s="2">
        <v>6.4000000000000001E-2</v>
      </c>
      <c r="G4" s="7">
        <v>5.4786633406333711E-2</v>
      </c>
      <c r="H4" s="6">
        <v>5.4786633406333704E-2</v>
      </c>
      <c r="I4" s="2"/>
      <c r="J4" s="2"/>
      <c r="K4" s="2">
        <v>45</v>
      </c>
      <c r="L4" s="2"/>
      <c r="M4" s="2">
        <v>112.8</v>
      </c>
      <c r="N4" s="2">
        <v>6.4000000000000001E-2</v>
      </c>
      <c r="O4" s="7">
        <v>7.9761644917842558E-2</v>
      </c>
      <c r="P4" s="6">
        <v>7.9761644917842558E-2</v>
      </c>
      <c r="Q4" s="2"/>
      <c r="R4" s="2"/>
      <c r="S4" s="2">
        <v>45</v>
      </c>
      <c r="T4" s="2"/>
      <c r="U4" s="2">
        <v>80.36</v>
      </c>
      <c r="V4" s="2">
        <v>6.4000000000000001E-2</v>
      </c>
      <c r="W4" s="7">
        <v>5.6823100936150964E-2</v>
      </c>
      <c r="X4" s="6">
        <v>5.6823100936150957E-2</v>
      </c>
      <c r="Y4" s="2"/>
      <c r="Z4" s="2"/>
      <c r="AA4" s="2">
        <v>45</v>
      </c>
      <c r="AB4" s="2"/>
      <c r="AC4" s="2">
        <v>45.53</v>
      </c>
      <c r="AD4" s="2">
        <v>6.4000000000000001E-2</v>
      </c>
      <c r="AE4" s="7">
        <v>3.219457174742351E-2</v>
      </c>
      <c r="AF4" s="6">
        <v>3.2194571747423503E-2</v>
      </c>
      <c r="AG4" s="2"/>
      <c r="AH4" s="2"/>
      <c r="AI4" s="2">
        <v>45</v>
      </c>
      <c r="AJ4" s="2"/>
      <c r="AK4" s="2">
        <v>74.34</v>
      </c>
      <c r="AL4" s="2">
        <v>6.4000000000000001E-2</v>
      </c>
      <c r="AM4" s="7">
        <v>5.256631811340795E-2</v>
      </c>
      <c r="AN4" s="6">
        <v>5.2566318113407944E-2</v>
      </c>
      <c r="AO4" s="2"/>
      <c r="AP4" s="2"/>
      <c r="AQ4" s="2">
        <v>45</v>
      </c>
      <c r="AR4" s="2"/>
      <c r="AS4" s="2">
        <v>40.43</v>
      </c>
      <c r="AT4" s="2">
        <v>6.4000000000000001E-2</v>
      </c>
      <c r="AU4" s="7">
        <v>2.8588327163372118E-2</v>
      </c>
      <c r="AV4" s="6">
        <v>2.8588327163372115E-2</v>
      </c>
      <c r="AW4" s="2"/>
      <c r="AX4" s="2"/>
      <c r="AY4" s="2">
        <v>45</v>
      </c>
      <c r="AZ4" s="2"/>
      <c r="BA4" s="2">
        <v>79.599999999999994</v>
      </c>
      <c r="BB4" s="2">
        <v>6.4000000000000001E-2</v>
      </c>
      <c r="BC4" s="7">
        <v>5.6285699782449176E-2</v>
      </c>
      <c r="BD4" s="6">
        <v>5.6285699782449169E-2</v>
      </c>
      <c r="BE4" s="2"/>
      <c r="BF4" s="2"/>
      <c r="BG4" s="2">
        <v>45</v>
      </c>
      <c r="BH4" s="2"/>
      <c r="BI4" s="2">
        <v>111.3</v>
      </c>
      <c r="BJ4" s="2">
        <v>6.4000000000000001E-2</v>
      </c>
      <c r="BK4" s="7">
        <v>7.8700984746062741E-2</v>
      </c>
      <c r="BL4" s="6">
        <v>7.8700984746062727E-2</v>
      </c>
      <c r="BO4">
        <v>45</v>
      </c>
      <c r="BQ4">
        <v>50.48</v>
      </c>
      <c r="BR4">
        <v>6.4000000000000001E-2</v>
      </c>
      <c r="BS4">
        <v>3.5694750314296919E-2</v>
      </c>
      <c r="BT4">
        <v>3.5694750314296912E-2</v>
      </c>
      <c r="BW4">
        <v>45</v>
      </c>
      <c r="BY4">
        <v>61.41</v>
      </c>
      <c r="BZ4">
        <v>6.4000000000000001E-2</v>
      </c>
      <c r="CA4">
        <v>4.3423427432665883E-2</v>
      </c>
      <c r="CB4">
        <v>4.3423427432665876E-2</v>
      </c>
    </row>
    <row r="5" spans="1:80" x14ac:dyDescent="0.3">
      <c r="C5">
        <v>60</v>
      </c>
      <c r="E5" s="3">
        <v>38.090000000000003</v>
      </c>
      <c r="F5" s="3">
        <v>6.4000000000000001E-2</v>
      </c>
      <c r="G5">
        <v>1.9045000000000006E-2</v>
      </c>
      <c r="H5" s="5">
        <v>3.2986907630149269E-2</v>
      </c>
      <c r="K5">
        <v>60</v>
      </c>
      <c r="M5" s="3">
        <v>87.72</v>
      </c>
      <c r="N5" s="3">
        <v>6.4000000000000001E-2</v>
      </c>
      <c r="O5">
        <v>4.3860000000000003E-2</v>
      </c>
      <c r="P5" s="5">
        <v>7.5967748419970949E-2</v>
      </c>
      <c r="S5">
        <v>60</v>
      </c>
      <c r="U5" s="3">
        <v>79.260000000000005</v>
      </c>
      <c r="V5" s="3">
        <v>6.4000000000000001E-2</v>
      </c>
      <c r="W5">
        <v>3.9630000000000012E-2</v>
      </c>
      <c r="X5" s="5">
        <v>6.8641173503954614E-2</v>
      </c>
      <c r="AA5">
        <v>60</v>
      </c>
      <c r="AC5" s="3">
        <v>40.799999999999997</v>
      </c>
      <c r="AD5" s="3">
        <v>6.4000000000000001E-2</v>
      </c>
      <c r="AE5">
        <v>2.0400000000000001E-2</v>
      </c>
      <c r="AF5" s="5">
        <v>3.5333836474405092E-2</v>
      </c>
      <c r="AI5">
        <v>60</v>
      </c>
      <c r="AK5" s="3">
        <v>36.65</v>
      </c>
      <c r="AL5" s="3">
        <v>6.4000000000000001E-2</v>
      </c>
      <c r="AM5">
        <v>1.8325000000000004E-2</v>
      </c>
      <c r="AN5" s="5">
        <v>3.1739831048699679E-2</v>
      </c>
      <c r="AQ5">
        <v>60</v>
      </c>
      <c r="AS5" s="3">
        <v>40.51</v>
      </c>
      <c r="AT5" s="3">
        <v>6.4000000000000001E-2</v>
      </c>
      <c r="AU5">
        <v>2.0255000000000002E-2</v>
      </c>
      <c r="AV5" s="5">
        <v>3.5082689107307607E-2</v>
      </c>
      <c r="AY5">
        <v>60</v>
      </c>
      <c r="BA5" s="3">
        <v>78.739999999999995</v>
      </c>
      <c r="BB5" s="3">
        <v>6.4000000000000001E-2</v>
      </c>
      <c r="BC5">
        <v>3.9370000000000002E-2</v>
      </c>
      <c r="BD5" s="5">
        <v>6.8190840293986685E-2</v>
      </c>
      <c r="BG5">
        <v>60</v>
      </c>
      <c r="BI5" s="3">
        <v>80.61</v>
      </c>
      <c r="BJ5" s="3">
        <v>6.4000000000000001E-2</v>
      </c>
      <c r="BK5">
        <v>4.0305000000000007E-2</v>
      </c>
      <c r="BL5" s="5">
        <v>6.9810307799063595E-2</v>
      </c>
      <c r="BO5">
        <v>60</v>
      </c>
      <c r="BQ5">
        <v>12.11</v>
      </c>
      <c r="BR5">
        <v>6.4000000000000001E-2</v>
      </c>
      <c r="BS5">
        <v>6.0550000000000014E-3</v>
      </c>
      <c r="BT5">
        <v>1.048756763982955E-2</v>
      </c>
      <c r="BW5">
        <v>60</v>
      </c>
      <c r="BY5">
        <v>24.21</v>
      </c>
      <c r="BZ5">
        <v>6.4000000000000001E-2</v>
      </c>
      <c r="CA5">
        <v>1.2105000000000005E-2</v>
      </c>
      <c r="CB5">
        <v>2.096647502562126E-2</v>
      </c>
    </row>
    <row r="6" spans="1:80" x14ac:dyDescent="0.3">
      <c r="C6">
        <v>75</v>
      </c>
      <c r="E6" s="3">
        <v>2.17</v>
      </c>
      <c r="F6" s="3">
        <v>6.4000000000000001E-2</v>
      </c>
      <c r="G6">
        <v>5.6163732787246998E-4</v>
      </c>
      <c r="H6" s="5">
        <v>2.0960590430472784E-3</v>
      </c>
      <c r="K6">
        <v>75</v>
      </c>
      <c r="M6" s="3">
        <v>75.03</v>
      </c>
      <c r="N6" s="3">
        <v>6.4000000000000001E-2</v>
      </c>
      <c r="O6">
        <v>1.9419192954042132E-2</v>
      </c>
      <c r="P6" s="5">
        <v>7.2473414746468789E-2</v>
      </c>
      <c r="S6">
        <v>75</v>
      </c>
      <c r="U6" s="3">
        <v>78.45</v>
      </c>
      <c r="V6" s="3">
        <v>6.4000000000000001E-2</v>
      </c>
      <c r="W6">
        <v>2.0304354088292755E-2</v>
      </c>
      <c r="X6" s="5">
        <v>7.5776881072377414E-2</v>
      </c>
      <c r="AA6">
        <v>75</v>
      </c>
      <c r="AC6" s="3">
        <v>42.23</v>
      </c>
      <c r="AD6" s="3">
        <v>6.4000000000000001E-2</v>
      </c>
      <c r="AE6">
        <v>1.092992827467945E-2</v>
      </c>
      <c r="AF6" s="5">
        <v>4.0791047644187353E-2</v>
      </c>
      <c r="AI6">
        <v>75</v>
      </c>
      <c r="AK6" s="3">
        <v>2.157</v>
      </c>
      <c r="AL6" s="3">
        <v>6.4000000000000001E-2</v>
      </c>
      <c r="AM6">
        <v>5.5827268028613727E-4</v>
      </c>
      <c r="AN6" s="5">
        <v>2.0835020073055204E-3</v>
      </c>
      <c r="AQ6">
        <v>75</v>
      </c>
      <c r="AS6" s="3">
        <v>44.57</v>
      </c>
      <c r="AT6" s="3">
        <v>6.4000000000000001E-2</v>
      </c>
      <c r="AU6">
        <v>1.1535564840219349E-2</v>
      </c>
      <c r="AV6" s="5">
        <v>4.3051314077703774E-2</v>
      </c>
      <c r="AY6">
        <v>75</v>
      </c>
      <c r="BA6" s="3">
        <v>77</v>
      </c>
      <c r="BB6" s="3">
        <v>6.4000000000000001E-2</v>
      </c>
      <c r="BC6">
        <v>1.9929066472894098E-2</v>
      </c>
      <c r="BD6" s="5">
        <v>7.4376288624258255E-2</v>
      </c>
      <c r="BG6">
        <v>75</v>
      </c>
      <c r="BI6" s="3">
        <v>63.45</v>
      </c>
      <c r="BJ6" s="3">
        <v>6.4000000000000001E-2</v>
      </c>
      <c r="BK6">
        <v>1.6422068411754944E-2</v>
      </c>
      <c r="BL6" s="5">
        <v>6.1287993678041393E-2</v>
      </c>
      <c r="BO6">
        <v>75</v>
      </c>
      <c r="BQ6">
        <v>3.2000000000000001E-2</v>
      </c>
      <c r="BR6">
        <v>6.4000000000000001E-2</v>
      </c>
      <c r="BS6">
        <v>8.2822094432806641E-6</v>
      </c>
      <c r="BT6">
        <v>3.0909626441250183E-5</v>
      </c>
      <c r="BW6">
        <v>75</v>
      </c>
      <c r="BY6">
        <v>0.33300000000000002</v>
      </c>
      <c r="BZ6">
        <v>6.4000000000000001E-2</v>
      </c>
      <c r="CA6">
        <v>8.6186742019139415E-5</v>
      </c>
      <c r="CB6">
        <v>3.2165330015425977E-4</v>
      </c>
    </row>
    <row r="7" spans="1:80" x14ac:dyDescent="0.3">
      <c r="C7">
        <v>90</v>
      </c>
      <c r="E7" s="3">
        <v>0.378</v>
      </c>
      <c r="F7" s="3">
        <v>6.4000000000000001E-2</v>
      </c>
      <c r="G7">
        <v>2.3155305797772919E-20</v>
      </c>
      <c r="H7" s="5">
        <v>3.7800000000000003E-4</v>
      </c>
      <c r="K7">
        <v>90</v>
      </c>
      <c r="M7" s="3">
        <v>41.63</v>
      </c>
      <c r="N7" s="3">
        <v>6.4000000000000001E-2</v>
      </c>
      <c r="O7">
        <v>2.5501465088922925E-18</v>
      </c>
      <c r="P7" s="5">
        <v>4.163E-2</v>
      </c>
      <c r="S7">
        <v>90</v>
      </c>
      <c r="U7" s="3">
        <v>75.650000000000006</v>
      </c>
      <c r="V7" s="3">
        <v>6.4000000000000001E-2</v>
      </c>
      <c r="W7">
        <v>4.6341240306918558E-18</v>
      </c>
      <c r="X7" s="5">
        <v>7.5650000000000009E-2</v>
      </c>
      <c r="AA7">
        <v>90</v>
      </c>
      <c r="AC7" s="3">
        <v>59.11</v>
      </c>
      <c r="AD7" s="3">
        <v>6.4000000000000001E-2</v>
      </c>
      <c r="AE7">
        <v>3.6209262584824268E-18</v>
      </c>
      <c r="AF7" s="5">
        <v>5.9110000000000003E-2</v>
      </c>
      <c r="AI7">
        <v>90</v>
      </c>
      <c r="AK7" s="3">
        <v>0.33300000000000002</v>
      </c>
      <c r="AL7" s="3">
        <v>6.4000000000000001E-2</v>
      </c>
      <c r="AM7">
        <v>2.0398721774228524E-20</v>
      </c>
      <c r="AN7" s="5">
        <v>3.3300000000000002E-4</v>
      </c>
      <c r="AQ7">
        <v>90</v>
      </c>
      <c r="AS7" s="3">
        <v>69.52</v>
      </c>
      <c r="AT7" s="3">
        <v>6.4000000000000001E-2</v>
      </c>
      <c r="AU7">
        <v>4.2586160292623628E-18</v>
      </c>
      <c r="AV7" s="5">
        <v>6.9519999999999998E-2</v>
      </c>
      <c r="AY7">
        <v>90</v>
      </c>
      <c r="BA7" s="3">
        <v>73.95</v>
      </c>
      <c r="BB7" s="3">
        <v>6.4000000000000001E-2</v>
      </c>
      <c r="BC7">
        <v>4.5299864120246227E-18</v>
      </c>
      <c r="BD7" s="5">
        <v>7.3950000000000002E-2</v>
      </c>
      <c r="BG7">
        <v>90</v>
      </c>
      <c r="BI7" s="3">
        <v>40.36</v>
      </c>
      <c r="BJ7" s="3">
        <v>6.4000000000000001E-2</v>
      </c>
      <c r="BK7">
        <v>2.4723495820055952E-18</v>
      </c>
      <c r="BL7" s="5">
        <v>4.036E-2</v>
      </c>
      <c r="BO7">
        <v>90</v>
      </c>
      <c r="BQ7">
        <v>7.6999999999999999E-2</v>
      </c>
      <c r="BR7">
        <v>6.4000000000000001E-2</v>
      </c>
      <c r="BS7">
        <v>4.7168215513981873E-21</v>
      </c>
      <c r="BT7">
        <v>7.7000000000000001E-5</v>
      </c>
      <c r="BW7">
        <v>90</v>
      </c>
      <c r="BY7">
        <v>0.09</v>
      </c>
      <c r="BZ7">
        <v>6.4000000000000001E-2</v>
      </c>
      <c r="CA7">
        <v>5.5131680470887892E-21</v>
      </c>
      <c r="CB7">
        <v>8.9999999999999992E-5</v>
      </c>
    </row>
    <row r="8" spans="1:80" x14ac:dyDescent="0.3">
      <c r="C8">
        <v>105</v>
      </c>
      <c r="E8" s="3">
        <v>11.19</v>
      </c>
      <c r="F8" s="3">
        <v>6.4000000000000001E-2</v>
      </c>
      <c r="G8">
        <v>-2.8961851146972082E-3</v>
      </c>
      <c r="H8" s="5">
        <v>1.0808709996174675E-2</v>
      </c>
      <c r="K8">
        <v>105</v>
      </c>
      <c r="M8" s="4">
        <v>38.090000000000003</v>
      </c>
      <c r="N8" s="3">
        <v>6.4000000000000001E-2</v>
      </c>
      <c r="O8">
        <v>-9.8584174279550199E-3</v>
      </c>
      <c r="P8" s="5">
        <v>3.6792114723350616E-2</v>
      </c>
      <c r="S8">
        <v>105</v>
      </c>
      <c r="U8" s="3">
        <v>71.12</v>
      </c>
      <c r="V8" s="3">
        <v>6.4000000000000001E-2</v>
      </c>
      <c r="W8">
        <v>-1.8407210487691283E-2</v>
      </c>
      <c r="X8" s="5">
        <v>6.8696644765678536E-2</v>
      </c>
      <c r="AA8">
        <v>105</v>
      </c>
      <c r="AC8" s="3">
        <v>77.150000000000006</v>
      </c>
      <c r="AD8" s="3">
        <v>6.4000000000000001E-2</v>
      </c>
      <c r="AE8">
        <v>-1.9967889329659486E-2</v>
      </c>
      <c r="AF8" s="5">
        <v>7.4521177498201627E-2</v>
      </c>
      <c r="AI8">
        <v>105</v>
      </c>
      <c r="AK8" s="3">
        <v>7.375</v>
      </c>
      <c r="AL8" s="3">
        <v>6.4000000000000001E-2</v>
      </c>
      <c r="AM8">
        <v>-1.9087904576310913E-3</v>
      </c>
      <c r="AN8" s="5">
        <v>7.1237029688818784E-3</v>
      </c>
      <c r="AQ8">
        <v>105</v>
      </c>
      <c r="AS8" s="3">
        <v>80.430000000000007</v>
      </c>
      <c r="AT8" s="3">
        <v>6.4000000000000001E-2</v>
      </c>
      <c r="AU8">
        <v>-2.0816815797595752E-2</v>
      </c>
      <c r="AV8" s="5">
        <v>7.7689414208429772E-2</v>
      </c>
      <c r="AY8">
        <v>105</v>
      </c>
      <c r="BA8" s="4">
        <v>71.739999999999995</v>
      </c>
      <c r="BB8" s="3">
        <v>6.4000000000000001E-2</v>
      </c>
      <c r="BC8">
        <v>-1.8567678295654845E-2</v>
      </c>
      <c r="BD8" s="5">
        <v>6.9295518777977766E-2</v>
      </c>
      <c r="BG8">
        <v>105</v>
      </c>
      <c r="BI8" s="4">
        <v>35.51</v>
      </c>
      <c r="BJ8" s="3">
        <v>6.4000000000000001E-2</v>
      </c>
      <c r="BK8">
        <v>-9.1906642915905151E-3</v>
      </c>
      <c r="BL8" s="5">
        <v>3.4300026091524813E-2</v>
      </c>
      <c r="BO8">
        <v>105</v>
      </c>
      <c r="BQ8">
        <v>14.71</v>
      </c>
      <c r="BR8">
        <v>6.4000000000000001E-2</v>
      </c>
      <c r="BS8">
        <v>-3.8072281534580819E-3</v>
      </c>
      <c r="BT8">
        <v>1.4208768904712196E-2</v>
      </c>
      <c r="BW8">
        <v>105</v>
      </c>
      <c r="BY8">
        <v>8.6020000000000003</v>
      </c>
      <c r="BZ8">
        <v>6.4000000000000001E-2</v>
      </c>
      <c r="CA8">
        <v>-2.2263614259718846E-3</v>
      </c>
      <c r="CB8">
        <v>8.308893957738565E-3</v>
      </c>
    </row>
    <row r="9" spans="1:80" x14ac:dyDescent="0.3">
      <c r="C9">
        <v>120</v>
      </c>
      <c r="E9" s="3">
        <v>41.47</v>
      </c>
      <c r="F9" s="3">
        <v>6.4000000000000001E-2</v>
      </c>
      <c r="G9">
        <v>-2.073499999999999E-2</v>
      </c>
      <c r="H9" s="5">
        <v>3.5914073494940676E-2</v>
      </c>
      <c r="K9">
        <v>120</v>
      </c>
      <c r="M9" s="4">
        <v>37.21</v>
      </c>
      <c r="N9" s="3">
        <v>6.4000000000000001E-2</v>
      </c>
      <c r="O9">
        <v>-1.8604999999999993E-2</v>
      </c>
      <c r="P9" s="5">
        <v>3.2224805274818961E-2</v>
      </c>
      <c r="S9">
        <v>120</v>
      </c>
      <c r="U9" s="4">
        <v>69.34</v>
      </c>
      <c r="V9" s="3">
        <v>6.4000000000000001E-2</v>
      </c>
      <c r="W9">
        <v>-3.4669999999999986E-2</v>
      </c>
      <c r="X9" s="5">
        <v>6.0050201498412982E-2</v>
      </c>
      <c r="AA9">
        <v>120</v>
      </c>
      <c r="AC9" s="3">
        <v>82.82</v>
      </c>
      <c r="AD9" s="3">
        <v>6.4000000000000001E-2</v>
      </c>
      <c r="AE9">
        <v>-4.1409999999999975E-2</v>
      </c>
      <c r="AF9" s="5">
        <v>7.1724223941427204E-2</v>
      </c>
      <c r="AI9">
        <v>120</v>
      </c>
      <c r="AK9" s="3">
        <v>40.299999999999997</v>
      </c>
      <c r="AL9" s="3">
        <v>6.4000000000000001E-2</v>
      </c>
      <c r="AM9">
        <v>-2.0149999999999987E-2</v>
      </c>
      <c r="AN9" s="5">
        <v>3.4900823772512878E-2</v>
      </c>
      <c r="AQ9">
        <v>120</v>
      </c>
      <c r="AS9" s="4">
        <v>92.77</v>
      </c>
      <c r="AT9" s="3">
        <v>6.4000000000000001E-2</v>
      </c>
      <c r="AU9">
        <v>-4.6384999999999975E-2</v>
      </c>
      <c r="AV9" s="5">
        <v>8.0341176709082376E-2</v>
      </c>
      <c r="AY9">
        <v>120</v>
      </c>
      <c r="BA9" s="4">
        <v>71.459999999999994</v>
      </c>
      <c r="BB9" s="3">
        <v>6.4000000000000001E-2</v>
      </c>
      <c r="BC9">
        <v>-3.5729999999999984E-2</v>
      </c>
      <c r="BD9" s="5">
        <v>6.1886175354435989E-2</v>
      </c>
      <c r="BG9">
        <v>120</v>
      </c>
      <c r="BI9" s="4">
        <v>36.979999999999997</v>
      </c>
      <c r="BJ9" s="3">
        <v>6.4000000000000001E-2</v>
      </c>
      <c r="BK9">
        <v>-1.8489999999999993E-2</v>
      </c>
      <c r="BL9" s="5">
        <v>3.2025619431948545E-2</v>
      </c>
      <c r="BO9">
        <v>120</v>
      </c>
      <c r="BQ9">
        <v>50.17</v>
      </c>
      <c r="BR9">
        <v>6.4000000000000001E-2</v>
      </c>
      <c r="BS9">
        <v>-2.5084999999999989E-2</v>
      </c>
      <c r="BT9">
        <v>4.3448494507865289E-2</v>
      </c>
      <c r="BW9">
        <v>120</v>
      </c>
      <c r="BY9">
        <v>41.73</v>
      </c>
      <c r="BZ9">
        <v>6.4000000000000001E-2</v>
      </c>
      <c r="CA9">
        <v>-2.0864999999999988E-2</v>
      </c>
      <c r="CB9">
        <v>3.6139240099924627E-2</v>
      </c>
    </row>
    <row r="10" spans="1:80" x14ac:dyDescent="0.3">
      <c r="C10">
        <v>135</v>
      </c>
      <c r="E10" s="3">
        <v>81.08</v>
      </c>
      <c r="F10" s="3">
        <v>6.4000000000000001E-2</v>
      </c>
      <c r="G10">
        <v>-5.7332217818605265E-2</v>
      </c>
      <c r="H10" s="5">
        <v>5.7332217818605279E-2</v>
      </c>
      <c r="K10">
        <v>135</v>
      </c>
      <c r="M10" s="4">
        <v>41.11</v>
      </c>
      <c r="N10" s="3">
        <v>6.4000000000000001E-2</v>
      </c>
      <c r="O10">
        <v>-2.9069159774578968E-2</v>
      </c>
      <c r="P10" s="5">
        <v>2.9069159774578971E-2</v>
      </c>
      <c r="S10">
        <v>135</v>
      </c>
      <c r="U10" s="4">
        <v>74.02</v>
      </c>
      <c r="V10" s="3">
        <v>6.4000000000000001E-2</v>
      </c>
      <c r="W10">
        <v>-5.2340043943428248E-2</v>
      </c>
      <c r="X10" s="5">
        <v>5.2340043943428255E-2</v>
      </c>
      <c r="AA10">
        <v>135</v>
      </c>
      <c r="AC10" s="4">
        <v>103.7</v>
      </c>
      <c r="AD10" s="3">
        <v>6.4000000000000001E-2</v>
      </c>
      <c r="AE10">
        <v>-7.3326973209044966E-2</v>
      </c>
      <c r="AF10" s="5">
        <v>7.3326973209044979E-2</v>
      </c>
      <c r="AI10">
        <v>135</v>
      </c>
      <c r="AK10" s="3">
        <v>80.180000000000007</v>
      </c>
      <c r="AL10" s="3">
        <v>6.4000000000000001E-2</v>
      </c>
      <c r="AM10">
        <v>-5.669582171553738E-2</v>
      </c>
      <c r="AN10" s="5">
        <v>5.6695821715537387E-2</v>
      </c>
      <c r="AQ10">
        <v>135</v>
      </c>
      <c r="AS10" s="4">
        <v>111.4</v>
      </c>
      <c r="AT10" s="3">
        <v>6.4000000000000001E-2</v>
      </c>
      <c r="AU10">
        <v>-7.8771695424181387E-2</v>
      </c>
      <c r="AV10" s="5">
        <v>7.8771695424181401E-2</v>
      </c>
      <c r="AY10">
        <v>135</v>
      </c>
      <c r="BA10" s="4">
        <v>74.25</v>
      </c>
      <c r="BB10" s="3">
        <v>6.4000000000000001E-2</v>
      </c>
      <c r="BC10">
        <v>-5.2502678503101148E-2</v>
      </c>
      <c r="BD10" s="5">
        <v>5.2502678503101155E-2</v>
      </c>
      <c r="BG10">
        <v>135</v>
      </c>
      <c r="BI10" s="4">
        <v>40.96</v>
      </c>
      <c r="BJ10" s="3">
        <v>6.4000000000000001E-2</v>
      </c>
      <c r="BK10">
        <v>-2.8963093757400988E-2</v>
      </c>
      <c r="BL10" s="5">
        <v>2.8963093757400991E-2</v>
      </c>
      <c r="BO10">
        <v>135</v>
      </c>
      <c r="BQ10">
        <v>90.4</v>
      </c>
      <c r="BR10">
        <v>6.4000000000000001E-2</v>
      </c>
      <c r="BS10">
        <v>-6.39224530192639E-2</v>
      </c>
      <c r="BT10">
        <v>6.39224530192639E-2</v>
      </c>
      <c r="BW10">
        <v>135</v>
      </c>
      <c r="BY10">
        <v>84.63</v>
      </c>
      <c r="BZ10">
        <v>6.4000000000000001E-2</v>
      </c>
      <c r="CA10">
        <v>-5.9842446891817509E-2</v>
      </c>
      <c r="CB10">
        <v>5.9842446891817516E-2</v>
      </c>
    </row>
    <row r="11" spans="1:80" x14ac:dyDescent="0.3">
      <c r="C11">
        <v>150</v>
      </c>
      <c r="E11" s="3">
        <v>121</v>
      </c>
      <c r="F11" s="3">
        <v>6.4000000000000001E-2</v>
      </c>
      <c r="G11">
        <v>-0.10478907385791708</v>
      </c>
      <c r="H11" s="5">
        <v>6.0499999999999991E-2</v>
      </c>
      <c r="K11">
        <v>150</v>
      </c>
      <c r="M11" s="4">
        <v>69.13</v>
      </c>
      <c r="N11" s="3">
        <v>6.4000000000000001E-2</v>
      </c>
      <c r="O11">
        <v>-5.9868336163618245E-2</v>
      </c>
      <c r="P11" s="5">
        <v>3.4564999999999992E-2</v>
      </c>
      <c r="S11">
        <v>150</v>
      </c>
      <c r="U11" s="4">
        <v>78.48</v>
      </c>
      <c r="V11" s="3">
        <v>6.4000000000000001E-2</v>
      </c>
      <c r="W11">
        <v>-6.7965673689002762E-2</v>
      </c>
      <c r="X11" s="5">
        <v>3.9239999999999997E-2</v>
      </c>
      <c r="AA11">
        <v>150</v>
      </c>
      <c r="AC11" s="4">
        <v>112.6</v>
      </c>
      <c r="AD11" s="3">
        <v>6.4000000000000001E-2</v>
      </c>
      <c r="AE11">
        <v>-9.7514460466127786E-2</v>
      </c>
      <c r="AF11" s="5">
        <v>5.6299999999999989E-2</v>
      </c>
      <c r="AI11">
        <v>150</v>
      </c>
      <c r="AK11" s="3">
        <v>119.4</v>
      </c>
      <c r="AL11" s="3">
        <v>6.4000000000000001E-2</v>
      </c>
      <c r="AM11">
        <v>-0.10340343321186199</v>
      </c>
      <c r="AN11" s="5">
        <v>5.9699999999999996E-2</v>
      </c>
      <c r="AQ11">
        <v>150</v>
      </c>
      <c r="AS11" s="4">
        <v>105.3</v>
      </c>
      <c r="AT11" s="3">
        <v>6.4000000000000001E-2</v>
      </c>
      <c r="AU11">
        <v>-9.119247501850139E-2</v>
      </c>
      <c r="AV11" s="5">
        <v>5.2649999999999988E-2</v>
      </c>
      <c r="AY11">
        <v>150</v>
      </c>
      <c r="BA11" s="4">
        <v>76.900000000000006</v>
      </c>
      <c r="BB11" s="3">
        <v>6.4000000000000001E-2</v>
      </c>
      <c r="BC11">
        <v>-6.659735355102335E-2</v>
      </c>
      <c r="BD11" s="5">
        <v>3.8449999999999998E-2</v>
      </c>
      <c r="BG11">
        <v>150</v>
      </c>
      <c r="BI11" s="3">
        <v>68.22</v>
      </c>
      <c r="BJ11" s="3">
        <v>6.4000000000000001E-2</v>
      </c>
      <c r="BK11">
        <v>-5.9080253046174411E-2</v>
      </c>
      <c r="BL11" s="5">
        <v>3.4109999999999994E-2</v>
      </c>
      <c r="BO11">
        <v>150</v>
      </c>
      <c r="BQ11">
        <v>124.2</v>
      </c>
      <c r="BR11">
        <v>6.4000000000000001E-2</v>
      </c>
      <c r="BS11">
        <v>-0.10756035515002729</v>
      </c>
      <c r="BT11">
        <v>6.2099999999999995E-2</v>
      </c>
      <c r="BW11">
        <v>150</v>
      </c>
      <c r="BY11">
        <v>121.4</v>
      </c>
      <c r="BZ11">
        <v>6.4000000000000001E-2</v>
      </c>
      <c r="CA11">
        <v>-0.10513548401943086</v>
      </c>
      <c r="CB11">
        <v>6.0699999999999997E-2</v>
      </c>
    </row>
    <row r="12" spans="1:80" x14ac:dyDescent="0.3">
      <c r="C12">
        <v>165</v>
      </c>
      <c r="E12" s="3">
        <v>154.19999999999999</v>
      </c>
      <c r="F12" s="3">
        <v>6.4000000000000001E-2</v>
      </c>
      <c r="G12">
        <v>-0.1489457624137743</v>
      </c>
      <c r="H12" s="5">
        <v>3.9909896754808737E-2</v>
      </c>
      <c r="K12">
        <v>165</v>
      </c>
      <c r="M12" s="3">
        <v>82.11</v>
      </c>
      <c r="N12" s="3">
        <v>6.4000000000000001E-2</v>
      </c>
      <c r="O12">
        <v>-7.9312169596595386E-2</v>
      </c>
      <c r="P12" s="5">
        <v>2.1251631793368E-2</v>
      </c>
      <c r="S12">
        <v>165</v>
      </c>
      <c r="U12" s="4">
        <v>79.989999999999995</v>
      </c>
      <c r="V12" s="3">
        <v>6.4000000000000001E-2</v>
      </c>
      <c r="W12">
        <v>-7.7264406844862563E-2</v>
      </c>
      <c r="X12" s="5">
        <v>2.0702935417750656E-2</v>
      </c>
      <c r="AA12">
        <v>165</v>
      </c>
      <c r="AC12" s="4">
        <v>107.1</v>
      </c>
      <c r="AD12" s="3">
        <v>6.4000000000000001E-2</v>
      </c>
      <c r="AE12">
        <v>-0.10345065599555921</v>
      </c>
      <c r="AF12" s="5">
        <v>2.7719519730480001E-2</v>
      </c>
      <c r="AI12">
        <v>165</v>
      </c>
      <c r="AK12" s="3">
        <v>145.5</v>
      </c>
      <c r="AL12" s="3">
        <v>6.4000000000000001E-2</v>
      </c>
      <c r="AM12">
        <v>-0.1405422077250594</v>
      </c>
      <c r="AN12" s="5">
        <v>3.7658171062416805E-2</v>
      </c>
      <c r="AQ12">
        <v>165</v>
      </c>
      <c r="AS12" s="4">
        <v>92.5</v>
      </c>
      <c r="AT12" s="3">
        <v>6.4000000000000001E-2</v>
      </c>
      <c r="AU12">
        <v>-8.9348138931738805E-2</v>
      </c>
      <c r="AV12" s="5">
        <v>2.3940761671983193E-2</v>
      </c>
      <c r="AY12">
        <v>165</v>
      </c>
      <c r="BA12" s="4">
        <v>78.89</v>
      </c>
      <c r="BB12" s="3">
        <v>6.4000000000000001E-2</v>
      </c>
      <c r="BC12">
        <v>-7.6201888435944595E-2</v>
      </c>
      <c r="BD12" s="5">
        <v>2.0418234468137883E-2</v>
      </c>
      <c r="BG12">
        <v>165</v>
      </c>
      <c r="BI12" s="3">
        <v>83.33</v>
      </c>
      <c r="BJ12" s="3">
        <v>6.4000000000000001E-2</v>
      </c>
      <c r="BK12">
        <v>-8.0490599104668048E-2</v>
      </c>
      <c r="BL12" s="5">
        <v>2.1567391028393078E-2</v>
      </c>
      <c r="BO12">
        <v>165</v>
      </c>
      <c r="BQ12">
        <v>155.30000000000001</v>
      </c>
      <c r="BR12">
        <v>6.4000000000000001E-2</v>
      </c>
      <c r="BS12">
        <v>-0.15000828082269232</v>
      </c>
      <c r="BT12">
        <v>4.019459770442152E-2</v>
      </c>
      <c r="BW12">
        <v>165</v>
      </c>
      <c r="BY12">
        <v>153.6</v>
      </c>
      <c r="BZ12">
        <v>6.4000000000000001E-2</v>
      </c>
      <c r="CA12">
        <v>-0.14836620691800087</v>
      </c>
      <c r="CB12">
        <v>3.9754605327747224E-2</v>
      </c>
    </row>
    <row r="13" spans="1:80" x14ac:dyDescent="0.3">
      <c r="C13">
        <v>180</v>
      </c>
      <c r="E13" s="3">
        <v>160</v>
      </c>
      <c r="F13" s="3">
        <v>6.4000000000000001E-2</v>
      </c>
      <c r="G13">
        <v>-0.16</v>
      </c>
      <c r="H13" s="5">
        <v>1.9602375278537921E-17</v>
      </c>
      <c r="K13">
        <v>180</v>
      </c>
      <c r="M13" s="3">
        <v>116.9</v>
      </c>
      <c r="N13" s="3">
        <v>6.4000000000000001E-2</v>
      </c>
      <c r="O13">
        <v>-0.1169</v>
      </c>
      <c r="P13" s="5">
        <v>1.4321985437881769E-17</v>
      </c>
      <c r="S13">
        <v>180</v>
      </c>
      <c r="U13" s="4">
        <v>82.2</v>
      </c>
      <c r="V13" s="3">
        <v>6.4000000000000001E-2</v>
      </c>
      <c r="W13">
        <v>-8.2200000000000009E-2</v>
      </c>
      <c r="X13" s="5">
        <v>1.0070720299348858E-17</v>
      </c>
      <c r="AA13">
        <v>180</v>
      </c>
      <c r="AC13" s="4">
        <v>86.89</v>
      </c>
      <c r="AD13" s="3">
        <v>6.4000000000000001E-2</v>
      </c>
      <c r="AE13">
        <v>-8.6889999999999995E-2</v>
      </c>
      <c r="AF13" s="5">
        <v>1.0645314924700999E-17</v>
      </c>
      <c r="AI13">
        <v>180</v>
      </c>
      <c r="AK13" s="3">
        <v>153.1</v>
      </c>
      <c r="AL13" s="3">
        <v>6.4000000000000001E-2</v>
      </c>
      <c r="AM13">
        <v>-0.15309999999999999</v>
      </c>
      <c r="AN13" s="5">
        <v>1.8757022844650971E-17</v>
      </c>
      <c r="AQ13">
        <v>180</v>
      </c>
      <c r="AS13" s="4">
        <v>80.08</v>
      </c>
      <c r="AT13" s="3">
        <v>6.4000000000000001E-2</v>
      </c>
      <c r="AU13">
        <v>-8.0079999999999998E-2</v>
      </c>
      <c r="AV13" s="5">
        <v>9.8109888269082284E-18</v>
      </c>
      <c r="AY13">
        <v>180</v>
      </c>
      <c r="BA13" s="4">
        <v>79.790000000000006</v>
      </c>
      <c r="BB13" s="3">
        <v>6.4000000000000001E-2</v>
      </c>
      <c r="BC13">
        <v>-7.979E-2</v>
      </c>
      <c r="BD13" s="5">
        <v>9.7754595217158792E-18</v>
      </c>
      <c r="BG13">
        <v>180</v>
      </c>
      <c r="BI13" s="3">
        <v>111</v>
      </c>
      <c r="BJ13" s="3">
        <v>6.4000000000000001E-2</v>
      </c>
      <c r="BK13">
        <v>-0.111</v>
      </c>
      <c r="BL13" s="5">
        <v>1.3599147849485683E-17</v>
      </c>
      <c r="BO13">
        <v>180</v>
      </c>
      <c r="BQ13">
        <v>153.9</v>
      </c>
      <c r="BR13">
        <v>6.4000000000000001E-2</v>
      </c>
      <c r="BS13">
        <v>-0.15390000000000001</v>
      </c>
      <c r="BT13">
        <v>1.8855034721043663E-17</v>
      </c>
      <c r="BW13">
        <v>180</v>
      </c>
      <c r="BY13">
        <v>157.1</v>
      </c>
      <c r="BZ13">
        <v>6.4000000000000001E-2</v>
      </c>
      <c r="CA13">
        <v>-0.15709999999999999</v>
      </c>
      <c r="CB13">
        <v>1.924708222661442E-17</v>
      </c>
    </row>
    <row r="14" spans="1:80" x14ac:dyDescent="0.3">
      <c r="C14">
        <v>195</v>
      </c>
      <c r="E14" s="3">
        <v>147.69999999999999</v>
      </c>
      <c r="F14" s="3">
        <v>6.4000000000000001E-2</v>
      </c>
      <c r="G14">
        <v>-0.14266724454289539</v>
      </c>
      <c r="H14" s="5">
        <v>-3.8227572961642323E-2</v>
      </c>
      <c r="K14">
        <v>195</v>
      </c>
      <c r="M14" s="3">
        <v>120.4</v>
      </c>
      <c r="N14" s="3">
        <v>6.4000000000000001E-2</v>
      </c>
      <c r="O14">
        <v>-0.11629746948520384</v>
      </c>
      <c r="P14" s="5">
        <v>-3.1161813030343505E-2</v>
      </c>
      <c r="S14">
        <v>195</v>
      </c>
      <c r="U14" s="3">
        <v>81.39</v>
      </c>
      <c r="V14" s="3">
        <v>6.4000000000000001E-2</v>
      </c>
      <c r="W14">
        <v>-7.8616703001667274E-2</v>
      </c>
      <c r="X14" s="5">
        <v>-2.1065282080894168E-2</v>
      </c>
      <c r="AA14">
        <v>195</v>
      </c>
      <c r="AC14" s="4">
        <v>79.150000000000006</v>
      </c>
      <c r="AD14" s="3">
        <v>6.4000000000000001E-2</v>
      </c>
      <c r="AE14">
        <v>-7.6453029150779769E-2</v>
      </c>
      <c r="AF14" s="5">
        <v>-2.0485527419864525E-2</v>
      </c>
      <c r="AI14">
        <v>195</v>
      </c>
      <c r="AK14" s="4">
        <v>127.2</v>
      </c>
      <c r="AL14" s="3">
        <v>6.4000000000000001E-2</v>
      </c>
      <c r="AM14">
        <v>-0.1228657651039695</v>
      </c>
      <c r="AN14" s="5">
        <v>-3.2921782537040645E-2</v>
      </c>
      <c r="AQ14">
        <v>195</v>
      </c>
      <c r="AS14" s="4">
        <v>66.27</v>
      </c>
      <c r="AT14" s="3">
        <v>6.4000000000000001E-2</v>
      </c>
      <c r="AU14">
        <v>-6.4011904508176551E-2</v>
      </c>
      <c r="AV14" s="5">
        <v>-1.7151938118944051E-2</v>
      </c>
      <c r="AY14">
        <v>195</v>
      </c>
      <c r="BA14" s="3">
        <v>79.78</v>
      </c>
      <c r="BB14" s="3">
        <v>6.4000000000000001E-2</v>
      </c>
      <c r="BC14">
        <v>-7.7061562421341878E-2</v>
      </c>
      <c r="BD14" s="5">
        <v>-2.0648583418279111E-2</v>
      </c>
      <c r="BG14">
        <v>195</v>
      </c>
      <c r="BI14" s="3">
        <v>118.7</v>
      </c>
      <c r="BJ14" s="3">
        <v>6.4000000000000001E-2</v>
      </c>
      <c r="BK14">
        <v>-0.11465539558051241</v>
      </c>
      <c r="BL14" s="5">
        <v>-3.072182065366922E-2</v>
      </c>
      <c r="BO14">
        <v>195</v>
      </c>
      <c r="BQ14">
        <v>121.4</v>
      </c>
      <c r="BR14">
        <v>6.4000000000000001E-2</v>
      </c>
      <c r="BS14">
        <v>-0.11726339531149291</v>
      </c>
      <c r="BT14">
        <v>-3.1420632075446028E-2</v>
      </c>
      <c r="BW14">
        <v>195</v>
      </c>
      <c r="BY14">
        <v>131.19999999999999</v>
      </c>
      <c r="BZ14">
        <v>6.4000000000000001E-2</v>
      </c>
      <c r="CA14">
        <v>-0.12672946840912575</v>
      </c>
      <c r="CB14">
        <v>-3.3957058717450722E-2</v>
      </c>
    </row>
    <row r="15" spans="1:80" x14ac:dyDescent="0.3">
      <c r="C15">
        <v>210</v>
      </c>
      <c r="E15" s="3">
        <v>116.2</v>
      </c>
      <c r="F15" s="3">
        <v>6.4000000000000001E-2</v>
      </c>
      <c r="G15">
        <v>-0.10063215191975176</v>
      </c>
      <c r="H15" s="5">
        <v>-5.8100000000000013E-2</v>
      </c>
      <c r="K15">
        <v>210</v>
      </c>
      <c r="M15" s="3">
        <v>119.2</v>
      </c>
      <c r="N15" s="3">
        <v>6.4000000000000001E-2</v>
      </c>
      <c r="O15">
        <v>-0.10323022813110508</v>
      </c>
      <c r="P15" s="5">
        <v>-5.9600000000000014E-2</v>
      </c>
      <c r="S15">
        <v>210</v>
      </c>
      <c r="U15" s="3">
        <v>82.37</v>
      </c>
      <c r="V15" s="3">
        <v>6.4000000000000001E-2</v>
      </c>
      <c r="W15">
        <v>-7.133451250972421E-2</v>
      </c>
      <c r="X15" s="5">
        <v>-4.1185000000000006E-2</v>
      </c>
      <c r="AA15">
        <v>210</v>
      </c>
      <c r="AC15" s="4">
        <v>64.099999999999994</v>
      </c>
      <c r="AD15" s="3">
        <v>6.4000000000000001E-2</v>
      </c>
      <c r="AE15">
        <v>-5.5512228382582504E-2</v>
      </c>
      <c r="AF15" s="5">
        <v>-3.2050000000000002E-2</v>
      </c>
      <c r="AI15">
        <v>210</v>
      </c>
      <c r="AK15" s="4">
        <v>105.2</v>
      </c>
      <c r="AL15" s="3">
        <v>6.4000000000000001E-2</v>
      </c>
      <c r="AM15">
        <v>-9.1105872478122948E-2</v>
      </c>
      <c r="AN15" s="5">
        <v>-5.2600000000000015E-2</v>
      </c>
      <c r="AQ15">
        <v>210</v>
      </c>
      <c r="AS15" s="4">
        <v>44.36</v>
      </c>
      <c r="AT15" s="3">
        <v>6.4000000000000001E-2</v>
      </c>
      <c r="AU15">
        <v>-3.8416886911877696E-2</v>
      </c>
      <c r="AV15" s="5">
        <v>-2.2180000000000002E-2</v>
      </c>
      <c r="AY15">
        <v>210</v>
      </c>
      <c r="BA15" s="3">
        <v>79.83</v>
      </c>
      <c r="BB15" s="3">
        <v>6.4000000000000001E-2</v>
      </c>
      <c r="BC15">
        <v>-6.9134807984111729E-2</v>
      </c>
      <c r="BD15" s="5">
        <v>-3.9915000000000006E-2</v>
      </c>
      <c r="BG15">
        <v>210</v>
      </c>
      <c r="BI15" s="3">
        <v>117.7</v>
      </c>
      <c r="BJ15" s="3">
        <v>6.4000000000000001E-2</v>
      </c>
      <c r="BK15">
        <v>-0.10193119002542843</v>
      </c>
      <c r="BL15" s="5">
        <v>-5.8850000000000013E-2</v>
      </c>
      <c r="BO15">
        <v>210</v>
      </c>
      <c r="BQ15">
        <v>84.81</v>
      </c>
      <c r="BR15">
        <v>6.4000000000000001E-2</v>
      </c>
      <c r="BS15">
        <v>-7.3447614494958235E-2</v>
      </c>
      <c r="BT15">
        <v>-4.2405000000000005E-2</v>
      </c>
      <c r="BW15">
        <v>210</v>
      </c>
      <c r="BY15">
        <v>96.36</v>
      </c>
      <c r="BZ15">
        <v>6.4000000000000001E-2</v>
      </c>
      <c r="CA15">
        <v>-8.34502079086685E-2</v>
      </c>
      <c r="CB15">
        <v>-4.8180000000000014E-2</v>
      </c>
    </row>
    <row r="16" spans="1:80" x14ac:dyDescent="0.3">
      <c r="C16">
        <v>225</v>
      </c>
      <c r="E16" s="3">
        <v>77.61</v>
      </c>
      <c r="F16" s="3">
        <v>6.4000000000000001E-2</v>
      </c>
      <c r="G16">
        <v>-5.4878557287887965E-2</v>
      </c>
      <c r="H16" s="5">
        <v>-5.4878557287887944E-2</v>
      </c>
      <c r="K16">
        <v>225</v>
      </c>
      <c r="M16" s="3">
        <v>117</v>
      </c>
      <c r="N16" s="3">
        <v>6.4000000000000001E-2</v>
      </c>
      <c r="O16">
        <v>-8.2731493398826086E-2</v>
      </c>
      <c r="P16" s="5">
        <v>-8.2731493398826059E-2</v>
      </c>
      <c r="S16">
        <v>225</v>
      </c>
      <c r="U16" s="3">
        <v>81.180000000000007</v>
      </c>
      <c r="V16" s="3">
        <v>6.4000000000000001E-2</v>
      </c>
      <c r="W16">
        <v>-5.7402928496723946E-2</v>
      </c>
      <c r="X16" s="5">
        <v>-5.7402928496723925E-2</v>
      </c>
      <c r="AA16">
        <v>225</v>
      </c>
      <c r="AC16" s="3">
        <v>42.44</v>
      </c>
      <c r="AD16" s="3">
        <v>6.4000000000000001E-2</v>
      </c>
      <c r="AE16">
        <v>-3.0009611793557083E-2</v>
      </c>
      <c r="AF16" s="5">
        <v>-3.0009611793557073E-2</v>
      </c>
      <c r="AI16">
        <v>225</v>
      </c>
      <c r="AK16" s="3">
        <v>69.150000000000006</v>
      </c>
      <c r="AL16" s="3">
        <v>6.4000000000000001E-2</v>
      </c>
      <c r="AM16">
        <v>-4.8896433919049777E-2</v>
      </c>
      <c r="AN16" s="5">
        <v>-4.8896433919049756E-2</v>
      </c>
      <c r="AQ16">
        <v>225</v>
      </c>
      <c r="AS16" s="3">
        <v>40.5</v>
      </c>
      <c r="AT16" s="3">
        <v>6.4000000000000001E-2</v>
      </c>
      <c r="AU16">
        <v>-2.8637824638055181E-2</v>
      </c>
      <c r="AV16" s="5">
        <v>-2.8637824638055174E-2</v>
      </c>
      <c r="AY16">
        <v>225</v>
      </c>
      <c r="BA16" s="3">
        <v>79.260000000000005</v>
      </c>
      <c r="BB16" s="3">
        <v>6.4000000000000001E-2</v>
      </c>
      <c r="BC16">
        <v>-5.6045283476845779E-2</v>
      </c>
      <c r="BD16" s="5">
        <v>-5.6045283476845759E-2</v>
      </c>
      <c r="BG16">
        <v>225</v>
      </c>
      <c r="BI16" s="3">
        <v>99.9</v>
      </c>
      <c r="BJ16" s="3">
        <v>6.4000000000000001E-2</v>
      </c>
      <c r="BK16">
        <v>-7.0639967440536119E-2</v>
      </c>
      <c r="BL16" s="5">
        <v>-7.0639967440536092E-2</v>
      </c>
      <c r="BO16">
        <v>225</v>
      </c>
      <c r="BQ16">
        <v>44.26</v>
      </c>
      <c r="BR16">
        <v>6.4000000000000001E-2</v>
      </c>
      <c r="BS16">
        <v>-3.12965461353166E-2</v>
      </c>
      <c r="BT16">
        <v>-3.1296546135316593E-2</v>
      </c>
      <c r="BW16">
        <v>225</v>
      </c>
      <c r="BY16">
        <v>55.14</v>
      </c>
      <c r="BZ16">
        <v>6.4000000000000001E-2</v>
      </c>
      <c r="CA16">
        <v>-3.898986791462624E-2</v>
      </c>
      <c r="CB16">
        <v>-3.8989867914626226E-2</v>
      </c>
    </row>
    <row r="17" spans="2:80" x14ac:dyDescent="0.3">
      <c r="C17">
        <v>240</v>
      </c>
      <c r="E17" s="3">
        <v>36.770000000000003</v>
      </c>
      <c r="F17" s="3">
        <v>6.4000000000000001E-2</v>
      </c>
      <c r="G17">
        <v>-1.8385000000000019E-2</v>
      </c>
      <c r="H17" s="5">
        <v>-3.1843754097153801E-2</v>
      </c>
      <c r="K17">
        <v>240</v>
      </c>
      <c r="M17" s="3">
        <v>83.11</v>
      </c>
      <c r="N17" s="3">
        <v>6.4000000000000001E-2</v>
      </c>
      <c r="O17">
        <v>-4.1555000000000036E-2</v>
      </c>
      <c r="P17" s="5">
        <v>-7.1975371308524674E-2</v>
      </c>
      <c r="S17">
        <v>240</v>
      </c>
      <c r="U17" s="3">
        <v>78.78</v>
      </c>
      <c r="V17" s="3">
        <v>6.4000000000000001E-2</v>
      </c>
      <c r="W17">
        <v>-3.9390000000000036E-2</v>
      </c>
      <c r="X17" s="5">
        <v>-6.8225481310138059E-2</v>
      </c>
      <c r="AA17">
        <v>240</v>
      </c>
      <c r="AC17" s="3">
        <v>40.22</v>
      </c>
      <c r="AD17" s="3">
        <v>6.4000000000000001E-2</v>
      </c>
      <c r="AE17">
        <v>-2.0110000000000017E-2</v>
      </c>
      <c r="AF17" s="5">
        <v>-3.4831541740210109E-2</v>
      </c>
      <c r="AI17">
        <v>240</v>
      </c>
      <c r="AK17" s="3">
        <v>33.67</v>
      </c>
      <c r="AL17" s="3">
        <v>6.4000000000000001E-2</v>
      </c>
      <c r="AM17">
        <v>-1.6835000000000013E-2</v>
      </c>
      <c r="AN17" s="5">
        <v>-2.9159075345422038E-2</v>
      </c>
      <c r="AQ17">
        <v>240</v>
      </c>
      <c r="AS17" s="3">
        <v>40.33</v>
      </c>
      <c r="AT17" s="3">
        <v>6.4000000000000001E-2</v>
      </c>
      <c r="AU17">
        <v>-2.0165000000000016E-2</v>
      </c>
      <c r="AV17" s="5">
        <v>-3.4926804534626398E-2</v>
      </c>
      <c r="AY17">
        <v>240</v>
      </c>
      <c r="BA17" s="3">
        <v>78.3</v>
      </c>
      <c r="BB17" s="3">
        <v>6.4000000000000001E-2</v>
      </c>
      <c r="BC17">
        <v>-3.9150000000000032E-2</v>
      </c>
      <c r="BD17" s="5">
        <v>-6.7809789116321517E-2</v>
      </c>
      <c r="BG17">
        <v>240</v>
      </c>
      <c r="BI17" s="3">
        <v>80.010000000000005</v>
      </c>
      <c r="BJ17" s="3">
        <v>6.4000000000000001E-2</v>
      </c>
      <c r="BK17">
        <v>-4.0005000000000041E-2</v>
      </c>
      <c r="BL17" s="5">
        <v>-6.9290692556792918E-2</v>
      </c>
      <c r="BO17">
        <v>240</v>
      </c>
      <c r="BQ17">
        <v>8.85</v>
      </c>
      <c r="BR17">
        <v>6.4000000000000001E-2</v>
      </c>
      <c r="BS17">
        <v>-4.4250000000000045E-3</v>
      </c>
      <c r="BT17">
        <v>-7.6643248234922797E-3</v>
      </c>
      <c r="BW17">
        <v>240</v>
      </c>
      <c r="BY17">
        <v>22.66</v>
      </c>
      <c r="BZ17">
        <v>6.4000000000000001E-2</v>
      </c>
      <c r="CA17">
        <v>-1.133000000000001E-2</v>
      </c>
      <c r="CB17">
        <v>-1.9624135649755372E-2</v>
      </c>
    </row>
    <row r="18" spans="2:80" x14ac:dyDescent="0.3">
      <c r="C18">
        <v>255</v>
      </c>
      <c r="E18" s="3">
        <v>2.669</v>
      </c>
      <c r="F18" s="3">
        <v>6.4000000000000001E-2</v>
      </c>
      <c r="G18">
        <v>-6.9078803137862757E-4</v>
      </c>
      <c r="H18" s="5">
        <v>-2.5780560303655235E-3</v>
      </c>
      <c r="K18">
        <v>255</v>
      </c>
      <c r="M18" s="3">
        <v>68.430000000000007</v>
      </c>
      <c r="N18" s="3">
        <v>6.4000000000000001E-2</v>
      </c>
      <c r="O18">
        <v>-1.7710987256365489E-2</v>
      </c>
      <c r="P18" s="5">
        <v>-6.6098304292960944E-2</v>
      </c>
      <c r="S18">
        <v>255</v>
      </c>
      <c r="U18" s="3">
        <v>77.11</v>
      </c>
      <c r="V18" s="3">
        <v>6.4000000000000001E-2</v>
      </c>
      <c r="W18">
        <v>-1.9957536567855365E-2</v>
      </c>
      <c r="X18" s="5">
        <v>-7.4482540465150057E-2</v>
      </c>
      <c r="AA18">
        <v>255</v>
      </c>
      <c r="AC18" s="3">
        <v>41.41</v>
      </c>
      <c r="AD18" s="3">
        <v>6.4000000000000001E-2</v>
      </c>
      <c r="AE18">
        <v>-1.0717696657695378E-2</v>
      </c>
      <c r="AF18" s="5">
        <v>-3.9998988466630317E-2</v>
      </c>
      <c r="AI18">
        <v>255</v>
      </c>
      <c r="AK18" s="3">
        <v>1.2929999999999999</v>
      </c>
      <c r="AL18" s="3">
        <v>6.4000000000000001E-2</v>
      </c>
      <c r="AM18">
        <v>-3.3465302531755916E-4</v>
      </c>
      <c r="AN18" s="5">
        <v>-1.2489420933917653E-3</v>
      </c>
      <c r="AQ18">
        <v>255</v>
      </c>
      <c r="AS18" s="3">
        <v>47.81</v>
      </c>
      <c r="AT18" s="3">
        <v>6.4000000000000001E-2</v>
      </c>
      <c r="AU18">
        <v>-1.2374138546351512E-2</v>
      </c>
      <c r="AV18" s="5">
        <v>-4.6180913754880364E-2</v>
      </c>
      <c r="AY18">
        <v>255</v>
      </c>
      <c r="BA18" s="3">
        <v>76.67</v>
      </c>
      <c r="BB18" s="3">
        <v>6.4000000000000001E-2</v>
      </c>
      <c r="BC18">
        <v>-1.9843656188010258E-2</v>
      </c>
      <c r="BD18" s="5">
        <v>-7.4057533101582876E-2</v>
      </c>
      <c r="BG18">
        <v>255</v>
      </c>
      <c r="BI18" s="3">
        <v>55.11</v>
      </c>
      <c r="BJ18" s="3">
        <v>6.4000000000000001E-2</v>
      </c>
      <c r="BK18">
        <v>-1.4263517575599911E-2</v>
      </c>
      <c r="BL18" s="5">
        <v>-5.3232172286790551E-2</v>
      </c>
      <c r="BO18">
        <v>255</v>
      </c>
      <c r="BQ18">
        <v>7.0000000000000007E-2</v>
      </c>
      <c r="BR18">
        <v>6.4000000000000001E-2</v>
      </c>
      <c r="BS18">
        <v>-1.8117333157176447E-5</v>
      </c>
      <c r="BT18">
        <v>-6.7614807840234791E-5</v>
      </c>
      <c r="BW18">
        <v>255</v>
      </c>
      <c r="BY18">
        <v>0.192</v>
      </c>
      <c r="BZ18">
        <v>6.4000000000000001E-2</v>
      </c>
      <c r="CA18">
        <v>-4.9693256659683964E-5</v>
      </c>
      <c r="CB18">
        <v>-1.8545775864750111E-4</v>
      </c>
    </row>
    <row r="19" spans="2:80" x14ac:dyDescent="0.3">
      <c r="C19">
        <v>270</v>
      </c>
      <c r="E19" s="3">
        <v>0.48</v>
      </c>
      <c r="F19" s="3">
        <v>6.4000000000000001E-2</v>
      </c>
      <c r="G19">
        <v>-8.8210688753420628E-20</v>
      </c>
      <c r="H19" s="5">
        <v>-4.7999999999999996E-4</v>
      </c>
      <c r="K19">
        <v>270</v>
      </c>
      <c r="M19" s="3">
        <v>41.41</v>
      </c>
      <c r="N19" s="3">
        <v>6.4000000000000001E-2</v>
      </c>
      <c r="O19">
        <v>-7.6100096276648928E-18</v>
      </c>
      <c r="P19" s="5">
        <v>-4.1409999999999995E-2</v>
      </c>
      <c r="S19">
        <v>270</v>
      </c>
      <c r="U19" s="3">
        <v>71.760000000000005</v>
      </c>
      <c r="V19" s="3">
        <v>6.4000000000000001E-2</v>
      </c>
      <c r="W19">
        <v>-1.3187497968636386E-17</v>
      </c>
      <c r="X19" s="5">
        <v>-7.1760000000000004E-2</v>
      </c>
      <c r="AA19">
        <v>270</v>
      </c>
      <c r="AC19" s="3">
        <v>53.27</v>
      </c>
      <c r="AD19" s="3">
        <v>6.4000000000000001E-2</v>
      </c>
      <c r="AE19">
        <v>-9.7895487289473292E-18</v>
      </c>
      <c r="AF19" s="5">
        <v>-5.3270000000000005E-2</v>
      </c>
      <c r="AI19">
        <v>270</v>
      </c>
      <c r="AK19" s="3">
        <v>0.21099999999999999</v>
      </c>
      <c r="AL19" s="3">
        <v>6.4000000000000001E-2</v>
      </c>
      <c r="AM19">
        <v>-3.8775948597857822E-20</v>
      </c>
      <c r="AN19" s="5">
        <v>-2.1100000000000001E-4</v>
      </c>
      <c r="AQ19">
        <v>270</v>
      </c>
      <c r="AS19" s="3">
        <v>74.239999999999995</v>
      </c>
      <c r="AT19" s="3">
        <v>6.4000000000000001E-2</v>
      </c>
      <c r="AU19">
        <v>-1.3643253193862392E-17</v>
      </c>
      <c r="AV19" s="5">
        <v>-7.424E-2</v>
      </c>
      <c r="AY19">
        <v>270</v>
      </c>
      <c r="BA19" s="3">
        <v>74.27</v>
      </c>
      <c r="BB19" s="3">
        <v>6.4000000000000001E-2</v>
      </c>
      <c r="BC19">
        <v>-1.3648766361909482E-17</v>
      </c>
      <c r="BD19" s="5">
        <v>-7.4270000000000003E-2</v>
      </c>
      <c r="BG19">
        <v>270</v>
      </c>
      <c r="BI19" s="3">
        <v>39.69</v>
      </c>
      <c r="BJ19" s="3">
        <v>6.4000000000000001E-2</v>
      </c>
      <c r="BK19">
        <v>-7.2939213262984682E-18</v>
      </c>
      <c r="BL19" s="5">
        <v>-3.9689999999999996E-2</v>
      </c>
      <c r="BO19">
        <v>270</v>
      </c>
      <c r="BQ19">
        <v>0.17299999999999999</v>
      </c>
      <c r="BR19">
        <v>6.4000000000000001E-2</v>
      </c>
      <c r="BS19">
        <v>-3.1792602404878686E-20</v>
      </c>
      <c r="BT19">
        <v>-1.7299999999999998E-4</v>
      </c>
      <c r="BW19">
        <v>270</v>
      </c>
      <c r="BY19">
        <v>7.6999999999999999E-2</v>
      </c>
      <c r="BZ19">
        <v>6.4000000000000001E-2</v>
      </c>
      <c r="CA19">
        <v>-1.415046465419456E-20</v>
      </c>
      <c r="CB19">
        <v>-7.7000000000000001E-5</v>
      </c>
    </row>
    <row r="20" spans="2:80" x14ac:dyDescent="0.3">
      <c r="B20">
        <v>-75</v>
      </c>
      <c r="C20">
        <v>285</v>
      </c>
      <c r="E20" s="3">
        <v>10.75</v>
      </c>
      <c r="F20" s="3">
        <v>6.4000000000000001E-2</v>
      </c>
      <c r="G20">
        <v>2.782304734852093E-3</v>
      </c>
      <c r="H20" s="5">
        <v>-1.0383702632607485E-2</v>
      </c>
      <c r="K20">
        <v>285</v>
      </c>
      <c r="M20" s="3">
        <v>37.11</v>
      </c>
      <c r="N20" s="3">
        <v>6.4000000000000001E-2</v>
      </c>
      <c r="O20">
        <v>9.6047747637545266E-3</v>
      </c>
      <c r="P20" s="5">
        <v>-3.584550741358733E-2</v>
      </c>
      <c r="S20">
        <v>285</v>
      </c>
      <c r="U20" s="3">
        <v>69.400000000000006</v>
      </c>
      <c r="V20" s="3">
        <v>6.4000000000000001E-2</v>
      </c>
      <c r="W20">
        <v>1.7962041730114911E-2</v>
      </c>
      <c r="X20" s="5">
        <v>-6.7035252344461352E-2</v>
      </c>
      <c r="AA20">
        <v>285</v>
      </c>
      <c r="AC20" s="3">
        <v>75.67</v>
      </c>
      <c r="AD20" s="3">
        <v>6.4000000000000001E-2</v>
      </c>
      <c r="AE20">
        <v>1.9584837142907711E-2</v>
      </c>
      <c r="AF20" s="5">
        <v>-7.3091607275293805E-2</v>
      </c>
      <c r="AI20">
        <v>285</v>
      </c>
      <c r="AK20" s="3">
        <v>10.68</v>
      </c>
      <c r="AL20" s="3">
        <v>6.4000000000000001E-2</v>
      </c>
      <c r="AM20">
        <v>2.7641874016949169E-3</v>
      </c>
      <c r="AN20" s="5">
        <v>-1.0316087824767251E-2</v>
      </c>
      <c r="AQ20">
        <v>285</v>
      </c>
      <c r="AS20" s="3">
        <v>81.99</v>
      </c>
      <c r="AT20" s="3">
        <v>6.4000000000000001E-2</v>
      </c>
      <c r="AU20">
        <v>2.1220573507955639E-2</v>
      </c>
      <c r="AV20" s="5">
        <v>-7.9196258497440719E-2</v>
      </c>
      <c r="AY20">
        <v>285</v>
      </c>
      <c r="BA20" s="3">
        <v>75.150000000000006</v>
      </c>
      <c r="BB20" s="3">
        <v>6.4000000000000001E-2</v>
      </c>
      <c r="BC20">
        <v>1.9450251239454402E-2</v>
      </c>
      <c r="BD20" s="5">
        <v>-7.2589325845623498E-2</v>
      </c>
      <c r="BG20">
        <v>285</v>
      </c>
      <c r="BI20" s="3">
        <v>36.36</v>
      </c>
      <c r="BJ20" s="3">
        <v>6.4000000000000001E-2</v>
      </c>
      <c r="BK20">
        <v>9.4106604799276371E-3</v>
      </c>
      <c r="BL20" s="5">
        <v>-3.5121063043870526E-2</v>
      </c>
      <c r="BO20">
        <v>285</v>
      </c>
      <c r="BQ20">
        <v>16.28</v>
      </c>
      <c r="BR20">
        <v>6.4000000000000001E-2</v>
      </c>
      <c r="BS20">
        <v>4.2135740542690314E-3</v>
      </c>
      <c r="BT20">
        <v>-1.5725272451986037E-2</v>
      </c>
      <c r="BW20">
        <v>285</v>
      </c>
      <c r="BY20">
        <v>13.06</v>
      </c>
      <c r="BZ20">
        <v>6.4000000000000001E-2</v>
      </c>
      <c r="CA20">
        <v>3.3801767290389151E-3</v>
      </c>
      <c r="CB20">
        <v>-1.2614991291335234E-2</v>
      </c>
    </row>
    <row r="21" spans="2:80" x14ac:dyDescent="0.3">
      <c r="B21">
        <v>-60</v>
      </c>
      <c r="C21">
        <v>300</v>
      </c>
      <c r="E21" s="3">
        <v>40.81</v>
      </c>
      <c r="F21" s="3">
        <v>6.4000000000000001E-2</v>
      </c>
      <c r="G21">
        <v>2.0405000000000003E-2</v>
      </c>
      <c r="H21" s="5">
        <v>-3.5342496728442939E-2</v>
      </c>
      <c r="K21">
        <v>300</v>
      </c>
      <c r="M21" s="3">
        <v>37.590000000000003</v>
      </c>
      <c r="N21" s="3">
        <v>6.4000000000000001E-2</v>
      </c>
      <c r="O21">
        <v>1.8795000000000006E-2</v>
      </c>
      <c r="P21" s="5">
        <v>-3.2553894928257054E-2</v>
      </c>
      <c r="S21">
        <v>300</v>
      </c>
      <c r="U21" s="3">
        <v>72.239999999999995</v>
      </c>
      <c r="V21" s="3">
        <v>6.4000000000000001E-2</v>
      </c>
      <c r="W21">
        <v>3.6120000000000006E-2</v>
      </c>
      <c r="X21" s="5">
        <v>-6.2561675169387848E-2</v>
      </c>
      <c r="AA21">
        <v>300</v>
      </c>
      <c r="AC21" s="3">
        <v>82.13</v>
      </c>
      <c r="AD21" s="3">
        <v>6.4000000000000001E-2</v>
      </c>
      <c r="AE21">
        <v>4.1065000000000004E-2</v>
      </c>
      <c r="AF21" s="5">
        <v>-7.1126666412815939E-2</v>
      </c>
      <c r="AI21">
        <v>300</v>
      </c>
      <c r="AK21" s="3">
        <v>40.380000000000003</v>
      </c>
      <c r="AL21" s="3">
        <v>6.4000000000000001E-2</v>
      </c>
      <c r="AM21">
        <v>2.0190000000000003E-2</v>
      </c>
      <c r="AN21" s="5">
        <v>-3.4970105804815632E-2</v>
      </c>
      <c r="AQ21">
        <v>300</v>
      </c>
      <c r="AS21" s="3">
        <v>103.2</v>
      </c>
      <c r="AT21" s="3">
        <v>6.4000000000000001E-2</v>
      </c>
      <c r="AU21">
        <v>5.1600000000000014E-2</v>
      </c>
      <c r="AV21" s="5">
        <v>-8.9373821670554063E-2</v>
      </c>
      <c r="AY21">
        <v>300</v>
      </c>
      <c r="BA21" s="3">
        <v>75.709999999999994</v>
      </c>
      <c r="BB21" s="3">
        <v>6.4000000000000001E-2</v>
      </c>
      <c r="BC21">
        <v>3.7855000000000007E-2</v>
      </c>
      <c r="BD21" s="5">
        <v>-6.556678332051985E-2</v>
      </c>
      <c r="BG21">
        <v>300</v>
      </c>
      <c r="BI21" s="3">
        <v>37.57</v>
      </c>
      <c r="BJ21" s="3">
        <v>6.4000000000000001E-2</v>
      </c>
      <c r="BK21">
        <v>1.8785000000000003E-2</v>
      </c>
      <c r="BL21" s="5">
        <v>-3.2536574420181361E-2</v>
      </c>
      <c r="BO21">
        <v>300</v>
      </c>
      <c r="BQ21">
        <v>45.44</v>
      </c>
      <c r="BR21">
        <v>6.4000000000000001E-2</v>
      </c>
      <c r="BS21">
        <v>2.2720000000000001E-2</v>
      </c>
      <c r="BT21">
        <v>-3.9352194347964886E-2</v>
      </c>
      <c r="BW21">
        <v>300</v>
      </c>
      <c r="BY21">
        <v>43.42</v>
      </c>
      <c r="BZ21">
        <v>6.4000000000000001E-2</v>
      </c>
      <c r="CA21">
        <v>2.1710000000000004E-2</v>
      </c>
      <c r="CB21">
        <v>-3.7602823032320327E-2</v>
      </c>
    </row>
    <row r="22" spans="2:80" x14ac:dyDescent="0.3">
      <c r="B22">
        <v>-45</v>
      </c>
      <c r="C22">
        <v>315</v>
      </c>
      <c r="E22" s="3">
        <v>81.97</v>
      </c>
      <c r="F22" s="3">
        <v>6.4000000000000001E-2</v>
      </c>
      <c r="G22">
        <v>5.7961542853861285E-2</v>
      </c>
      <c r="H22" s="5">
        <v>-5.7961542853861313E-2</v>
      </c>
      <c r="K22">
        <v>315</v>
      </c>
      <c r="M22" s="3">
        <v>42.2</v>
      </c>
      <c r="N22" s="3">
        <v>6.4000000000000001E-2</v>
      </c>
      <c r="O22">
        <v>2.9839906166072298E-2</v>
      </c>
      <c r="P22" s="5">
        <v>-2.9839906166072312E-2</v>
      </c>
      <c r="S22">
        <v>315</v>
      </c>
      <c r="U22" s="3">
        <v>77.11</v>
      </c>
      <c r="V22" s="3">
        <v>6.4000000000000001E-2</v>
      </c>
      <c r="W22">
        <v>5.4525003897294665E-2</v>
      </c>
      <c r="X22" s="5">
        <v>-5.4525003897294692E-2</v>
      </c>
      <c r="AA22">
        <v>315</v>
      </c>
      <c r="AC22" s="3">
        <v>103.3</v>
      </c>
      <c r="AD22" s="3">
        <v>6.4000000000000001E-2</v>
      </c>
      <c r="AE22">
        <v>7.3044130496570339E-2</v>
      </c>
      <c r="AF22" s="5">
        <v>-7.3044130496570381E-2</v>
      </c>
      <c r="AI22">
        <v>315</v>
      </c>
      <c r="AK22" s="3">
        <v>80.22</v>
      </c>
      <c r="AL22" s="3">
        <v>6.4000000000000001E-2</v>
      </c>
      <c r="AM22">
        <v>5.6724105986784831E-2</v>
      </c>
      <c r="AN22" s="5">
        <v>-5.6724105986784852E-2</v>
      </c>
      <c r="AQ22">
        <v>315</v>
      </c>
      <c r="AS22" s="3">
        <v>116.1</v>
      </c>
      <c r="AT22" s="3">
        <v>6.4000000000000001E-2</v>
      </c>
      <c r="AU22">
        <v>8.2095097295758146E-2</v>
      </c>
      <c r="AV22" s="5">
        <v>-8.2095097295758188E-2</v>
      </c>
      <c r="AY22">
        <v>315</v>
      </c>
      <c r="BA22" s="3">
        <v>76.739999999999995</v>
      </c>
      <c r="BB22" s="3">
        <v>6.4000000000000001E-2</v>
      </c>
      <c r="BC22">
        <v>5.4263374388255639E-2</v>
      </c>
      <c r="BD22" s="5">
        <v>-5.426337438825566E-2</v>
      </c>
      <c r="BG22">
        <v>315</v>
      </c>
      <c r="BI22" s="3">
        <v>41.52</v>
      </c>
      <c r="BJ22" s="3">
        <v>6.4000000000000001E-2</v>
      </c>
      <c r="BK22">
        <v>2.9359073554865448E-2</v>
      </c>
      <c r="BL22" s="5">
        <v>-2.9359073554865462E-2</v>
      </c>
      <c r="BO22">
        <v>315</v>
      </c>
      <c r="BQ22">
        <v>88.48</v>
      </c>
      <c r="BR22">
        <v>6.4000000000000001E-2</v>
      </c>
      <c r="BS22">
        <v>6.2564807999385713E-2</v>
      </c>
      <c r="BT22">
        <v>-6.2564807999385741E-2</v>
      </c>
      <c r="BW22">
        <v>315</v>
      </c>
      <c r="BY22">
        <v>85.16</v>
      </c>
      <c r="BZ22">
        <v>6.4000000000000001E-2</v>
      </c>
      <c r="CA22">
        <v>6.0217213485846369E-2</v>
      </c>
      <c r="CB22">
        <v>-6.0217213485846403E-2</v>
      </c>
    </row>
    <row r="23" spans="2:80" x14ac:dyDescent="0.3">
      <c r="B23">
        <v>-30</v>
      </c>
      <c r="C23">
        <v>330</v>
      </c>
      <c r="E23" s="3">
        <v>122.1</v>
      </c>
      <c r="F23" s="3">
        <v>6.4000000000000001E-2</v>
      </c>
      <c r="G23">
        <v>0.10574170180207992</v>
      </c>
      <c r="H23" s="5">
        <v>-6.1050000000000056E-2</v>
      </c>
      <c r="K23">
        <v>330</v>
      </c>
      <c r="M23" s="3">
        <v>69.7</v>
      </c>
      <c r="N23" s="3">
        <v>6.4000000000000001E-2</v>
      </c>
      <c r="O23">
        <v>6.0361970643775353E-2</v>
      </c>
      <c r="P23" s="5">
        <v>-3.4850000000000027E-2</v>
      </c>
      <c r="S23">
        <v>330</v>
      </c>
      <c r="U23" s="3">
        <v>79.67</v>
      </c>
      <c r="V23" s="3">
        <v>6.4000000000000001E-2</v>
      </c>
      <c r="W23">
        <v>6.8996243919506206E-2</v>
      </c>
      <c r="X23" s="5">
        <v>-3.9835000000000037E-2</v>
      </c>
      <c r="AA23">
        <v>330</v>
      </c>
      <c r="AC23" s="3">
        <v>114.1</v>
      </c>
      <c r="AD23" s="3">
        <v>6.4000000000000001E-2</v>
      </c>
      <c r="AE23">
        <v>9.8813498571804409E-2</v>
      </c>
      <c r="AF23" s="5">
        <v>-5.7050000000000045E-2</v>
      </c>
      <c r="AI23">
        <v>330</v>
      </c>
      <c r="AK23" s="3">
        <v>120.1</v>
      </c>
      <c r="AL23" s="3">
        <v>6.4000000000000001E-2</v>
      </c>
      <c r="AM23">
        <v>0.10400965099451105</v>
      </c>
      <c r="AN23" s="5">
        <v>-6.0050000000000055E-2</v>
      </c>
      <c r="AQ23">
        <v>330</v>
      </c>
      <c r="AS23" s="3">
        <v>115.5</v>
      </c>
      <c r="AT23" s="3">
        <v>6.4000000000000001E-2</v>
      </c>
      <c r="AU23">
        <v>0.10002593413710263</v>
      </c>
      <c r="AV23" s="5">
        <v>-5.7750000000000051E-2</v>
      </c>
      <c r="AY23">
        <v>330</v>
      </c>
      <c r="BA23" s="3">
        <v>79.19</v>
      </c>
      <c r="BB23" s="3">
        <v>6.4000000000000001E-2</v>
      </c>
      <c r="BC23">
        <v>6.8580551725689678E-2</v>
      </c>
      <c r="BD23" s="5">
        <v>-3.9595000000000033E-2</v>
      </c>
      <c r="BG23">
        <v>330</v>
      </c>
      <c r="BI23" s="3">
        <v>70.19</v>
      </c>
      <c r="BJ23" s="3">
        <v>6.4000000000000001E-2</v>
      </c>
      <c r="BK23">
        <v>6.0786323091629735E-2</v>
      </c>
      <c r="BL23" s="5">
        <v>-3.5095000000000029E-2</v>
      </c>
      <c r="BO23">
        <v>330</v>
      </c>
      <c r="BQ23">
        <v>122.9</v>
      </c>
      <c r="BR23">
        <v>6.4000000000000001E-2</v>
      </c>
      <c r="BS23">
        <v>0.10643452212510748</v>
      </c>
      <c r="BT23">
        <v>-6.145000000000006E-2</v>
      </c>
      <c r="BW23">
        <v>330</v>
      </c>
      <c r="BY23">
        <v>121.1</v>
      </c>
      <c r="BZ23">
        <v>6.4000000000000001E-2</v>
      </c>
      <c r="CA23">
        <v>0.10487567639829548</v>
      </c>
      <c r="CB23">
        <v>-6.0550000000000055E-2</v>
      </c>
    </row>
    <row r="24" spans="2:80" x14ac:dyDescent="0.3">
      <c r="B24">
        <v>-15</v>
      </c>
      <c r="C24">
        <v>345</v>
      </c>
      <c r="E24" s="3">
        <v>158.19999999999999</v>
      </c>
      <c r="F24" s="3">
        <v>6.4000000000000001E-2</v>
      </c>
      <c r="G24">
        <v>0.15280946571893059</v>
      </c>
      <c r="H24" s="5">
        <v>-4.0945172935218765E-2</v>
      </c>
      <c r="K24">
        <v>345</v>
      </c>
      <c r="M24" s="3">
        <v>83.24</v>
      </c>
      <c r="N24" s="3">
        <v>6.4000000000000001E-2</v>
      </c>
      <c r="O24">
        <v>8.0403665780302044E-2</v>
      </c>
      <c r="P24" s="5">
        <v>-2.1544097314333821E-2</v>
      </c>
      <c r="S24">
        <v>345</v>
      </c>
      <c r="U24" s="3">
        <v>81.5</v>
      </c>
      <c r="V24" s="3">
        <v>6.4000000000000001E-2</v>
      </c>
      <c r="W24">
        <v>7.8722954842559076E-2</v>
      </c>
      <c r="X24" s="5">
        <v>-2.1093752175855438E-2</v>
      </c>
      <c r="AA24">
        <v>345</v>
      </c>
      <c r="AC24" s="3">
        <v>111.9</v>
      </c>
      <c r="AD24" s="3">
        <v>6.4000000000000001E-2</v>
      </c>
      <c r="AE24">
        <v>0.10808709996174674</v>
      </c>
      <c r="AF24" s="5">
        <v>-2.8961851146972063E-2</v>
      </c>
      <c r="AI24">
        <v>345</v>
      </c>
      <c r="AK24" s="3">
        <v>149</v>
      </c>
      <c r="AL24" s="3">
        <v>6.4000000000000001E-2</v>
      </c>
      <c r="AM24">
        <v>0.14392294811707118</v>
      </c>
      <c r="AN24" s="5">
        <v>-3.8564037720275578E-2</v>
      </c>
      <c r="AQ24">
        <v>345</v>
      </c>
      <c r="AS24" s="3">
        <v>104.6</v>
      </c>
      <c r="AT24" s="3">
        <v>6.4000000000000001E-2</v>
      </c>
      <c r="AU24">
        <v>0.10103584142983654</v>
      </c>
      <c r="AV24" s="5">
        <v>-2.7072472117723664E-2</v>
      </c>
      <c r="AY24">
        <v>345</v>
      </c>
      <c r="BA24" s="3">
        <v>79.989999999999995</v>
      </c>
      <c r="BB24" s="3">
        <v>6.4000000000000001E-2</v>
      </c>
      <c r="BC24">
        <v>7.7264406844862563E-2</v>
      </c>
      <c r="BD24" s="5">
        <v>-2.0702935417750628E-2</v>
      </c>
      <c r="BG24">
        <v>345</v>
      </c>
      <c r="BI24" s="3">
        <v>86.04</v>
      </c>
      <c r="BJ24" s="3">
        <v>6.4000000000000001E-2</v>
      </c>
      <c r="BK24">
        <v>8.3108258093911438E-2</v>
      </c>
      <c r="BL24" s="5">
        <v>-2.2268790640620879E-2</v>
      </c>
      <c r="BO24">
        <v>345</v>
      </c>
      <c r="BQ24">
        <v>154.4</v>
      </c>
      <c r="BR24">
        <v>6.4000000000000001E-2</v>
      </c>
      <c r="BS24">
        <v>0.14913894757903215</v>
      </c>
      <c r="BT24">
        <v>-3.9961660563829195E-2</v>
      </c>
      <c r="BW24">
        <v>345</v>
      </c>
      <c r="BY24">
        <v>153.6</v>
      </c>
      <c r="BZ24">
        <v>6.4000000000000001E-2</v>
      </c>
      <c r="CA24">
        <v>0.14836620691800087</v>
      </c>
      <c r="CB24">
        <v>-3.9754605327747175E-2</v>
      </c>
    </row>
    <row r="25" spans="2:80" x14ac:dyDescent="0.3">
      <c r="B25">
        <v>0</v>
      </c>
      <c r="C25">
        <v>360</v>
      </c>
      <c r="E25" s="3">
        <v>160.1</v>
      </c>
      <c r="F25" s="3">
        <v>6.4000000000000001E-2</v>
      </c>
      <c r="G25">
        <v>0.16009999999999999</v>
      </c>
      <c r="H25" s="5">
        <v>-3.9229253526174009E-17</v>
      </c>
      <c r="K25">
        <v>360</v>
      </c>
      <c r="M25" s="3">
        <v>116</v>
      </c>
      <c r="N25" s="3">
        <v>6.4000000000000001E-2</v>
      </c>
      <c r="O25">
        <v>0.11600000000000001</v>
      </c>
      <c r="P25" s="5">
        <v>-2.8423444153879987E-17</v>
      </c>
      <c r="S25">
        <v>360</v>
      </c>
      <c r="U25" s="3">
        <v>85</v>
      </c>
      <c r="V25" s="3">
        <v>6.4000000000000001E-2</v>
      </c>
      <c r="W25">
        <v>8.5000000000000006E-2</v>
      </c>
      <c r="X25" s="5">
        <v>-2.0827523733446543E-17</v>
      </c>
      <c r="AA25">
        <v>360</v>
      </c>
      <c r="AC25" s="3">
        <v>92.91</v>
      </c>
      <c r="AD25" s="3">
        <v>6.4000000000000001E-2</v>
      </c>
      <c r="AE25">
        <v>9.2909999999999993E-2</v>
      </c>
      <c r="AF25" s="5">
        <v>-2.2765708589111976E-17</v>
      </c>
      <c r="AI25">
        <v>360</v>
      </c>
      <c r="AK25" s="3">
        <v>156</v>
      </c>
      <c r="AL25" s="3">
        <v>6.4000000000000001E-2</v>
      </c>
      <c r="AM25">
        <v>0.156</v>
      </c>
      <c r="AN25" s="5">
        <v>-3.8224631793148945E-17</v>
      </c>
      <c r="AQ25">
        <v>360</v>
      </c>
      <c r="AS25" s="3">
        <v>81.55</v>
      </c>
      <c r="AT25" s="3">
        <v>6.4000000000000001E-2</v>
      </c>
      <c r="AU25">
        <v>8.1549999999999997E-2</v>
      </c>
      <c r="AV25" s="5">
        <v>-1.9982171299559592E-17</v>
      </c>
      <c r="AY25">
        <v>360</v>
      </c>
      <c r="BA25" s="3">
        <v>80.16</v>
      </c>
      <c r="BB25" s="3">
        <v>6.4000000000000001E-2</v>
      </c>
      <c r="BC25">
        <v>8.0159999999999995E-2</v>
      </c>
      <c r="BD25" s="5">
        <v>-1.9641580029094995E-17</v>
      </c>
      <c r="BG25">
        <v>360</v>
      </c>
      <c r="BI25" s="3">
        <v>116.9</v>
      </c>
      <c r="BJ25" s="3">
        <v>6.4000000000000001E-2</v>
      </c>
      <c r="BK25">
        <v>0.1169</v>
      </c>
      <c r="BL25" s="5">
        <v>-2.8643970875763538E-17</v>
      </c>
      <c r="BO25">
        <v>360</v>
      </c>
      <c r="BQ25">
        <v>150.5</v>
      </c>
      <c r="BR25">
        <v>6.4000000000000001E-2</v>
      </c>
      <c r="BS25">
        <v>0.15049999999999999</v>
      </c>
      <c r="BT25">
        <v>-3.6876968492749462E-17</v>
      </c>
      <c r="BW25">
        <v>360</v>
      </c>
      <c r="BY25">
        <v>157.69999999999999</v>
      </c>
      <c r="BZ25">
        <v>6.4000000000000001E-2</v>
      </c>
      <c r="CA25">
        <v>0.15769999999999998</v>
      </c>
      <c r="CB25">
        <v>-3.8641182267817868E-17</v>
      </c>
    </row>
    <row r="26" spans="2:80" x14ac:dyDescent="0.3">
      <c r="B26" t="s">
        <v>10</v>
      </c>
      <c r="C26">
        <f t="shared" ref="C26:C41" si="0">C25+10</f>
        <v>370</v>
      </c>
      <c r="E26" s="3"/>
      <c r="F26" s="3"/>
      <c r="G26">
        <f t="shared" ref="G26:G41" si="1">E26/1000*COS(RADIANS(C26))</f>
        <v>0</v>
      </c>
      <c r="H26" s="5">
        <f t="shared" ref="H26:H41" si="2">E26/1000*SIN(RADIANS(C26))</f>
        <v>0</v>
      </c>
      <c r="K26">
        <f t="shared" ref="K26:K41" si="3">K25+10</f>
        <v>370</v>
      </c>
      <c r="M26" s="3"/>
      <c r="N26" s="3"/>
      <c r="O26">
        <f t="shared" ref="O26:O41" si="4">M26/1000*COS(RADIANS(K26))</f>
        <v>0</v>
      </c>
      <c r="P26" s="5">
        <f t="shared" ref="P26:P41" si="5">M26/1000*SIN(RADIANS(K26))</f>
        <v>0</v>
      </c>
      <c r="S26">
        <f t="shared" ref="S26:S41" si="6">S25+10</f>
        <v>370</v>
      </c>
      <c r="U26" s="3"/>
      <c r="V26" s="3"/>
      <c r="W26">
        <f t="shared" ref="W26:W41" si="7">U26/1000*COS(RADIANS(S26))</f>
        <v>0</v>
      </c>
      <c r="X26" s="5">
        <f t="shared" ref="X26:X41" si="8">U26/1000*SIN(RADIANS(S26))</f>
        <v>0</v>
      </c>
      <c r="AA26">
        <f t="shared" ref="AA26:AA41" si="9">AA25+10</f>
        <v>370</v>
      </c>
      <c r="AC26" s="3"/>
      <c r="AD26" s="3"/>
      <c r="AE26">
        <f t="shared" ref="AE26:AE41" si="10">AC26/1000*COS(RADIANS(AA26))</f>
        <v>0</v>
      </c>
      <c r="AF26" s="5">
        <f t="shared" ref="AF26:AF41" si="11">AC26/1000*SIN(RADIANS(AA26))</f>
        <v>0</v>
      </c>
      <c r="AI26">
        <f t="shared" ref="AI26:AI41" si="12">AI25+10</f>
        <v>370</v>
      </c>
      <c r="AK26" s="3"/>
      <c r="AL26" s="3"/>
      <c r="AM26">
        <f t="shared" ref="AM26:AM41" si="13">AK26/1000*COS(RADIANS(AI26))</f>
        <v>0</v>
      </c>
      <c r="AN26" s="5">
        <f t="shared" ref="AN26:AN41" si="14">AK26/1000*SIN(RADIANS(AI26))</f>
        <v>0</v>
      </c>
      <c r="AQ26">
        <f t="shared" ref="AQ26:AQ41" si="15">AQ25+10</f>
        <v>370</v>
      </c>
      <c r="AS26" s="3"/>
      <c r="AT26" s="3"/>
      <c r="AU26">
        <f t="shared" ref="AU26:AU41" si="16">AS26/1000*COS(RADIANS(AQ26))</f>
        <v>0</v>
      </c>
      <c r="AV26" s="5">
        <f t="shared" ref="AV26:AV41" si="17">AS26/1000*SIN(RADIANS(AQ26))</f>
        <v>0</v>
      </c>
      <c r="AY26">
        <f t="shared" ref="AY26:AY41" si="18">AY25+10</f>
        <v>370</v>
      </c>
      <c r="BA26" s="4"/>
      <c r="BB26" s="3"/>
      <c r="BC26">
        <f t="shared" ref="BC26:BC41" si="19">BA26/1000*COS(RADIANS(AY26))</f>
        <v>0</v>
      </c>
      <c r="BD26" s="5">
        <f t="shared" ref="BD26:BD41" si="20">BA26/1000*SIN(RADIANS(AY26))</f>
        <v>0</v>
      </c>
      <c r="BG26">
        <f t="shared" ref="BG26:BG41" si="21">BG25+10</f>
        <v>370</v>
      </c>
      <c r="BI26" s="4"/>
      <c r="BJ26" s="3"/>
      <c r="BK26">
        <f t="shared" ref="BK26:BK41" si="22">BI26/1000*COS(RADIANS(BG26))</f>
        <v>0</v>
      </c>
      <c r="BL26" s="5">
        <f t="shared" ref="BL26:BL41" si="23">BI26/1000*SIN(RADIANS(BG26))</f>
        <v>0</v>
      </c>
    </row>
    <row r="27" spans="2:80" x14ac:dyDescent="0.3">
      <c r="B27" t="s">
        <v>11</v>
      </c>
      <c r="C27">
        <f t="shared" si="0"/>
        <v>380</v>
      </c>
      <c r="E27" s="3"/>
      <c r="F27" s="3"/>
      <c r="G27">
        <f t="shared" si="1"/>
        <v>0</v>
      </c>
      <c r="H27" s="5">
        <f t="shared" si="2"/>
        <v>0</v>
      </c>
      <c r="K27">
        <f t="shared" si="3"/>
        <v>380</v>
      </c>
      <c r="M27" s="4"/>
      <c r="N27" s="3"/>
      <c r="O27">
        <f t="shared" si="4"/>
        <v>0</v>
      </c>
      <c r="P27" s="5">
        <f t="shared" si="5"/>
        <v>0</v>
      </c>
      <c r="S27">
        <f t="shared" si="6"/>
        <v>380</v>
      </c>
      <c r="U27" s="4"/>
      <c r="V27" s="3"/>
      <c r="W27">
        <f t="shared" si="7"/>
        <v>0</v>
      </c>
      <c r="X27" s="5">
        <f t="shared" si="8"/>
        <v>0</v>
      </c>
      <c r="AA27">
        <f t="shared" si="9"/>
        <v>380</v>
      </c>
      <c r="AC27" s="4"/>
      <c r="AD27" s="3"/>
      <c r="AE27">
        <f t="shared" si="10"/>
        <v>0</v>
      </c>
      <c r="AF27" s="5">
        <f t="shared" si="11"/>
        <v>0</v>
      </c>
      <c r="AI27">
        <f t="shared" si="12"/>
        <v>380</v>
      </c>
      <c r="AK27" s="3"/>
      <c r="AL27" s="3"/>
      <c r="AM27">
        <f t="shared" si="13"/>
        <v>0</v>
      </c>
      <c r="AN27" s="5">
        <f t="shared" si="14"/>
        <v>0</v>
      </c>
      <c r="AQ27">
        <f t="shared" si="15"/>
        <v>380</v>
      </c>
      <c r="AS27" s="4"/>
      <c r="AT27" s="3"/>
      <c r="AU27">
        <f t="shared" si="16"/>
        <v>0</v>
      </c>
      <c r="AV27" s="5">
        <f t="shared" si="17"/>
        <v>0</v>
      </c>
      <c r="AY27">
        <f t="shared" si="18"/>
        <v>380</v>
      </c>
      <c r="BA27" s="4"/>
      <c r="BB27" s="3"/>
      <c r="BC27">
        <f t="shared" si="19"/>
        <v>0</v>
      </c>
      <c r="BD27" s="5">
        <f t="shared" si="20"/>
        <v>0</v>
      </c>
      <c r="BG27">
        <f t="shared" si="21"/>
        <v>380</v>
      </c>
      <c r="BI27" s="4"/>
      <c r="BJ27" s="3"/>
      <c r="BK27">
        <f t="shared" si="22"/>
        <v>0</v>
      </c>
      <c r="BL27" s="5">
        <f t="shared" si="23"/>
        <v>0</v>
      </c>
    </row>
    <row r="28" spans="2:80" x14ac:dyDescent="0.3">
      <c r="B28" t="s">
        <v>12</v>
      </c>
      <c r="C28">
        <f t="shared" si="0"/>
        <v>390</v>
      </c>
      <c r="E28" s="3"/>
      <c r="F28" s="3"/>
      <c r="G28">
        <f t="shared" si="1"/>
        <v>0</v>
      </c>
      <c r="H28" s="5">
        <f t="shared" si="2"/>
        <v>0</v>
      </c>
      <c r="K28">
        <f t="shared" si="3"/>
        <v>390</v>
      </c>
      <c r="M28" s="4"/>
      <c r="N28" s="3"/>
      <c r="O28">
        <f t="shared" si="4"/>
        <v>0</v>
      </c>
      <c r="P28" s="5">
        <f t="shared" si="5"/>
        <v>0</v>
      </c>
      <c r="S28">
        <f t="shared" si="6"/>
        <v>390</v>
      </c>
      <c r="U28" s="4"/>
      <c r="V28" s="3"/>
      <c r="W28">
        <f t="shared" si="7"/>
        <v>0</v>
      </c>
      <c r="X28" s="5">
        <f t="shared" si="8"/>
        <v>0</v>
      </c>
      <c r="AA28">
        <f t="shared" si="9"/>
        <v>390</v>
      </c>
      <c r="AC28" s="4"/>
      <c r="AD28" s="3"/>
      <c r="AE28">
        <f t="shared" si="10"/>
        <v>0</v>
      </c>
      <c r="AF28" s="5">
        <f t="shared" si="11"/>
        <v>0</v>
      </c>
      <c r="AI28">
        <f t="shared" si="12"/>
        <v>390</v>
      </c>
      <c r="AK28" s="3"/>
      <c r="AL28" s="3"/>
      <c r="AM28">
        <f t="shared" si="13"/>
        <v>0</v>
      </c>
      <c r="AN28" s="5">
        <f t="shared" si="14"/>
        <v>0</v>
      </c>
      <c r="AQ28">
        <f t="shared" si="15"/>
        <v>390</v>
      </c>
      <c r="AS28" s="4"/>
      <c r="AT28" s="3"/>
      <c r="AU28">
        <f t="shared" si="16"/>
        <v>0</v>
      </c>
      <c r="AV28" s="5">
        <f t="shared" si="17"/>
        <v>0</v>
      </c>
      <c r="AY28">
        <f t="shared" si="18"/>
        <v>390</v>
      </c>
      <c r="BA28" s="4"/>
      <c r="BB28" s="3"/>
      <c r="BC28">
        <f t="shared" si="19"/>
        <v>0</v>
      </c>
      <c r="BD28" s="5">
        <f t="shared" si="20"/>
        <v>0</v>
      </c>
      <c r="BG28">
        <f t="shared" si="21"/>
        <v>390</v>
      </c>
      <c r="BI28" s="4"/>
      <c r="BJ28" s="3"/>
      <c r="BK28">
        <f t="shared" si="22"/>
        <v>0</v>
      </c>
      <c r="BL28" s="5">
        <f t="shared" si="23"/>
        <v>0</v>
      </c>
    </row>
    <row r="29" spans="2:80" x14ac:dyDescent="0.3">
      <c r="B29" t="s">
        <v>13</v>
      </c>
      <c r="C29">
        <f t="shared" si="0"/>
        <v>400</v>
      </c>
      <c r="E29" s="3"/>
      <c r="F29" s="3"/>
      <c r="G29">
        <f t="shared" si="1"/>
        <v>0</v>
      </c>
      <c r="H29" s="5">
        <f t="shared" si="2"/>
        <v>0</v>
      </c>
      <c r="K29">
        <f t="shared" si="3"/>
        <v>400</v>
      </c>
      <c r="M29" s="4"/>
      <c r="N29" s="3"/>
      <c r="O29">
        <f t="shared" si="4"/>
        <v>0</v>
      </c>
      <c r="P29" s="5">
        <f t="shared" si="5"/>
        <v>0</v>
      </c>
      <c r="S29">
        <f t="shared" si="6"/>
        <v>400</v>
      </c>
      <c r="U29" s="4"/>
      <c r="V29" s="3"/>
      <c r="W29">
        <f t="shared" si="7"/>
        <v>0</v>
      </c>
      <c r="X29" s="5">
        <f t="shared" si="8"/>
        <v>0</v>
      </c>
      <c r="AA29">
        <f t="shared" si="9"/>
        <v>400</v>
      </c>
      <c r="AC29" s="4"/>
      <c r="AD29" s="3"/>
      <c r="AE29">
        <f t="shared" si="10"/>
        <v>0</v>
      </c>
      <c r="AF29" s="5">
        <f t="shared" si="11"/>
        <v>0</v>
      </c>
      <c r="AI29">
        <f t="shared" si="12"/>
        <v>400</v>
      </c>
      <c r="AK29" s="3"/>
      <c r="AL29" s="3"/>
      <c r="AM29">
        <f t="shared" si="13"/>
        <v>0</v>
      </c>
      <c r="AN29" s="5">
        <f t="shared" si="14"/>
        <v>0</v>
      </c>
      <c r="AQ29">
        <f t="shared" si="15"/>
        <v>400</v>
      </c>
      <c r="AS29" s="4"/>
      <c r="AT29" s="3"/>
      <c r="AU29">
        <f t="shared" si="16"/>
        <v>0</v>
      </c>
      <c r="AV29" s="5">
        <f t="shared" si="17"/>
        <v>0</v>
      </c>
      <c r="AY29">
        <f t="shared" si="18"/>
        <v>400</v>
      </c>
      <c r="BA29" s="4"/>
      <c r="BB29" s="3"/>
      <c r="BC29">
        <f t="shared" si="19"/>
        <v>0</v>
      </c>
      <c r="BD29" s="5">
        <f t="shared" si="20"/>
        <v>0</v>
      </c>
      <c r="BG29">
        <f t="shared" si="21"/>
        <v>400</v>
      </c>
      <c r="BI29" s="3"/>
      <c r="BJ29" s="3"/>
      <c r="BK29">
        <f t="shared" si="22"/>
        <v>0</v>
      </c>
      <c r="BL29" s="5">
        <f t="shared" si="23"/>
        <v>0</v>
      </c>
    </row>
    <row r="30" spans="2:80" x14ac:dyDescent="0.3">
      <c r="B30" t="s">
        <v>14</v>
      </c>
      <c r="C30">
        <f t="shared" si="0"/>
        <v>410</v>
      </c>
      <c r="E30" s="3"/>
      <c r="F30" s="3"/>
      <c r="G30">
        <f t="shared" si="1"/>
        <v>0</v>
      </c>
      <c r="H30" s="5">
        <f t="shared" si="2"/>
        <v>0</v>
      </c>
      <c r="K30">
        <f t="shared" si="3"/>
        <v>410</v>
      </c>
      <c r="M30" s="3"/>
      <c r="N30" s="3"/>
      <c r="O30">
        <f t="shared" si="4"/>
        <v>0</v>
      </c>
      <c r="P30" s="5">
        <f t="shared" si="5"/>
        <v>0</v>
      </c>
      <c r="S30">
        <f t="shared" si="6"/>
        <v>410</v>
      </c>
      <c r="U30" s="4"/>
      <c r="V30" s="3"/>
      <c r="W30">
        <f t="shared" si="7"/>
        <v>0</v>
      </c>
      <c r="X30" s="5">
        <f t="shared" si="8"/>
        <v>0</v>
      </c>
      <c r="AA30">
        <f t="shared" si="9"/>
        <v>410</v>
      </c>
      <c r="AC30" s="4"/>
      <c r="AD30" s="3"/>
      <c r="AE30">
        <f t="shared" si="10"/>
        <v>0</v>
      </c>
      <c r="AF30" s="5">
        <f t="shared" si="11"/>
        <v>0</v>
      </c>
      <c r="AI30">
        <f t="shared" si="12"/>
        <v>410</v>
      </c>
      <c r="AK30" s="3"/>
      <c r="AL30" s="3"/>
      <c r="AM30">
        <f t="shared" si="13"/>
        <v>0</v>
      </c>
      <c r="AN30" s="5">
        <f t="shared" si="14"/>
        <v>0</v>
      </c>
      <c r="AQ30">
        <f t="shared" si="15"/>
        <v>410</v>
      </c>
      <c r="AS30" s="4"/>
      <c r="AT30" s="3"/>
      <c r="AU30">
        <f t="shared" si="16"/>
        <v>0</v>
      </c>
      <c r="AV30" s="5">
        <f t="shared" si="17"/>
        <v>0</v>
      </c>
      <c r="AY30">
        <f t="shared" si="18"/>
        <v>410</v>
      </c>
      <c r="BA30" s="4"/>
      <c r="BB30" s="3"/>
      <c r="BC30">
        <f t="shared" si="19"/>
        <v>0</v>
      </c>
      <c r="BD30" s="5">
        <f t="shared" si="20"/>
        <v>0</v>
      </c>
      <c r="BG30">
        <f t="shared" si="21"/>
        <v>410</v>
      </c>
      <c r="BI30" s="3"/>
      <c r="BJ30" s="3"/>
      <c r="BK30">
        <f t="shared" si="22"/>
        <v>0</v>
      </c>
      <c r="BL30" s="5">
        <f t="shared" si="23"/>
        <v>0</v>
      </c>
    </row>
    <row r="31" spans="2:80" x14ac:dyDescent="0.3">
      <c r="B31" t="s">
        <v>15</v>
      </c>
      <c r="C31">
        <f t="shared" si="0"/>
        <v>420</v>
      </c>
      <c r="E31" s="3"/>
      <c r="F31" s="3"/>
      <c r="G31">
        <f t="shared" si="1"/>
        <v>0</v>
      </c>
      <c r="H31" s="5">
        <f t="shared" si="2"/>
        <v>0</v>
      </c>
      <c r="K31">
        <f t="shared" si="3"/>
        <v>420</v>
      </c>
      <c r="M31" s="3"/>
      <c r="N31" s="3"/>
      <c r="O31">
        <f t="shared" si="4"/>
        <v>0</v>
      </c>
      <c r="P31" s="5">
        <f t="shared" si="5"/>
        <v>0</v>
      </c>
      <c r="S31">
        <f t="shared" si="6"/>
        <v>420</v>
      </c>
      <c r="U31" s="4"/>
      <c r="V31" s="3"/>
      <c r="W31">
        <f t="shared" si="7"/>
        <v>0</v>
      </c>
      <c r="X31" s="5">
        <f t="shared" si="8"/>
        <v>0</v>
      </c>
      <c r="AA31">
        <f t="shared" si="9"/>
        <v>420</v>
      </c>
      <c r="AC31" s="4"/>
      <c r="AD31" s="3"/>
      <c r="AE31">
        <f t="shared" si="10"/>
        <v>0</v>
      </c>
      <c r="AF31" s="5">
        <f t="shared" si="11"/>
        <v>0</v>
      </c>
      <c r="AI31">
        <f t="shared" si="12"/>
        <v>420</v>
      </c>
      <c r="AK31" s="3"/>
      <c r="AL31" s="3"/>
      <c r="AM31">
        <f t="shared" si="13"/>
        <v>0</v>
      </c>
      <c r="AN31" s="5">
        <f t="shared" si="14"/>
        <v>0</v>
      </c>
      <c r="AQ31">
        <f t="shared" si="15"/>
        <v>420</v>
      </c>
      <c r="AS31" s="4"/>
      <c r="AT31" s="3"/>
      <c r="AU31">
        <f t="shared" si="16"/>
        <v>0</v>
      </c>
      <c r="AV31" s="5">
        <f t="shared" si="17"/>
        <v>0</v>
      </c>
      <c r="AY31">
        <f t="shared" si="18"/>
        <v>420</v>
      </c>
      <c r="BA31" s="4"/>
      <c r="BB31" s="3"/>
      <c r="BC31">
        <f t="shared" si="19"/>
        <v>0</v>
      </c>
      <c r="BD31" s="5">
        <f t="shared" si="20"/>
        <v>0</v>
      </c>
      <c r="BG31">
        <f t="shared" si="21"/>
        <v>420</v>
      </c>
      <c r="BI31" s="3"/>
      <c r="BJ31" s="3"/>
      <c r="BK31">
        <f t="shared" si="22"/>
        <v>0</v>
      </c>
      <c r="BL31" s="5">
        <f t="shared" si="23"/>
        <v>0</v>
      </c>
    </row>
    <row r="32" spans="2:80" x14ac:dyDescent="0.3">
      <c r="B32">
        <v>-90</v>
      </c>
      <c r="C32">
        <f t="shared" si="0"/>
        <v>430</v>
      </c>
      <c r="E32" s="3"/>
      <c r="F32" s="3"/>
      <c r="G32">
        <f t="shared" si="1"/>
        <v>0</v>
      </c>
      <c r="H32" s="5">
        <f t="shared" si="2"/>
        <v>0</v>
      </c>
      <c r="K32">
        <f t="shared" si="3"/>
        <v>430</v>
      </c>
      <c r="M32" s="3"/>
      <c r="N32" s="3"/>
      <c r="O32">
        <f t="shared" si="4"/>
        <v>0</v>
      </c>
      <c r="P32" s="5">
        <f t="shared" si="5"/>
        <v>0</v>
      </c>
      <c r="S32">
        <f t="shared" si="6"/>
        <v>430</v>
      </c>
      <c r="U32" s="3"/>
      <c r="V32" s="3"/>
      <c r="W32">
        <f t="shared" si="7"/>
        <v>0</v>
      </c>
      <c r="X32" s="5">
        <f t="shared" si="8"/>
        <v>0</v>
      </c>
      <c r="AA32">
        <f t="shared" si="9"/>
        <v>430</v>
      </c>
      <c r="AC32" s="4"/>
      <c r="AD32" s="3"/>
      <c r="AE32">
        <f t="shared" si="10"/>
        <v>0</v>
      </c>
      <c r="AF32" s="5">
        <f t="shared" si="11"/>
        <v>0</v>
      </c>
      <c r="AI32">
        <f t="shared" si="12"/>
        <v>430</v>
      </c>
      <c r="AK32" s="4"/>
      <c r="AL32" s="3"/>
      <c r="AM32">
        <f t="shared" si="13"/>
        <v>0</v>
      </c>
      <c r="AN32" s="5">
        <f t="shared" si="14"/>
        <v>0</v>
      </c>
      <c r="AQ32">
        <f t="shared" si="15"/>
        <v>430</v>
      </c>
      <c r="AS32" s="4"/>
      <c r="AT32" s="3"/>
      <c r="AU32">
        <f t="shared" si="16"/>
        <v>0</v>
      </c>
      <c r="AV32" s="5">
        <f t="shared" si="17"/>
        <v>0</v>
      </c>
      <c r="AY32">
        <f t="shared" si="18"/>
        <v>430</v>
      </c>
      <c r="BA32" s="3"/>
      <c r="BB32" s="3"/>
      <c r="BC32">
        <f t="shared" si="19"/>
        <v>0</v>
      </c>
      <c r="BD32" s="5">
        <f t="shared" si="20"/>
        <v>0</v>
      </c>
      <c r="BG32">
        <f t="shared" si="21"/>
        <v>430</v>
      </c>
      <c r="BI32" s="3"/>
      <c r="BJ32" s="3"/>
      <c r="BK32">
        <f t="shared" si="22"/>
        <v>0</v>
      </c>
      <c r="BL32" s="5">
        <f t="shared" si="23"/>
        <v>0</v>
      </c>
    </row>
    <row r="33" spans="2:64" x14ac:dyDescent="0.3">
      <c r="B33">
        <v>-80</v>
      </c>
      <c r="C33">
        <f t="shared" si="0"/>
        <v>440</v>
      </c>
      <c r="E33" s="3"/>
      <c r="F33" s="3"/>
      <c r="G33">
        <f t="shared" si="1"/>
        <v>0</v>
      </c>
      <c r="H33" s="5">
        <f t="shared" si="2"/>
        <v>0</v>
      </c>
      <c r="K33">
        <f t="shared" si="3"/>
        <v>440</v>
      </c>
      <c r="M33" s="3"/>
      <c r="N33" s="3"/>
      <c r="O33">
        <f t="shared" si="4"/>
        <v>0</v>
      </c>
      <c r="P33" s="5">
        <f t="shared" si="5"/>
        <v>0</v>
      </c>
      <c r="S33">
        <f t="shared" si="6"/>
        <v>440</v>
      </c>
      <c r="U33" s="3"/>
      <c r="V33" s="3"/>
      <c r="W33">
        <f t="shared" si="7"/>
        <v>0</v>
      </c>
      <c r="X33" s="5">
        <f t="shared" si="8"/>
        <v>0</v>
      </c>
      <c r="AA33">
        <f t="shared" si="9"/>
        <v>440</v>
      </c>
      <c r="AC33" s="4"/>
      <c r="AD33" s="3"/>
      <c r="AE33">
        <f t="shared" si="10"/>
        <v>0</v>
      </c>
      <c r="AF33" s="5">
        <f t="shared" si="11"/>
        <v>0</v>
      </c>
      <c r="AI33">
        <f t="shared" si="12"/>
        <v>440</v>
      </c>
      <c r="AK33" s="4"/>
      <c r="AL33" s="3"/>
      <c r="AM33">
        <f t="shared" si="13"/>
        <v>0</v>
      </c>
      <c r="AN33" s="5">
        <f t="shared" si="14"/>
        <v>0</v>
      </c>
      <c r="AQ33">
        <f t="shared" si="15"/>
        <v>440</v>
      </c>
      <c r="AS33" s="4"/>
      <c r="AT33" s="3"/>
      <c r="AU33">
        <f t="shared" si="16"/>
        <v>0</v>
      </c>
      <c r="AV33" s="5">
        <f t="shared" si="17"/>
        <v>0</v>
      </c>
      <c r="AY33">
        <f t="shared" si="18"/>
        <v>440</v>
      </c>
      <c r="BA33" s="3"/>
      <c r="BB33" s="3"/>
      <c r="BC33">
        <f t="shared" si="19"/>
        <v>0</v>
      </c>
      <c r="BD33" s="5">
        <f t="shared" si="20"/>
        <v>0</v>
      </c>
      <c r="BG33">
        <f t="shared" si="21"/>
        <v>440</v>
      </c>
      <c r="BI33" s="3"/>
      <c r="BJ33" s="3"/>
      <c r="BK33">
        <f t="shared" si="22"/>
        <v>0</v>
      </c>
      <c r="BL33" s="5">
        <f t="shared" si="23"/>
        <v>0</v>
      </c>
    </row>
    <row r="34" spans="2:64" x14ac:dyDescent="0.3">
      <c r="B34">
        <v>-70</v>
      </c>
      <c r="C34">
        <f t="shared" si="0"/>
        <v>450</v>
      </c>
      <c r="E34" s="3"/>
      <c r="F34" s="3"/>
      <c r="G34">
        <f t="shared" si="1"/>
        <v>0</v>
      </c>
      <c r="H34" s="5">
        <f t="shared" si="2"/>
        <v>0</v>
      </c>
      <c r="K34">
        <f t="shared" si="3"/>
        <v>450</v>
      </c>
      <c r="M34" s="3"/>
      <c r="N34" s="3"/>
      <c r="O34">
        <f t="shared" si="4"/>
        <v>0</v>
      </c>
      <c r="P34" s="5">
        <f t="shared" si="5"/>
        <v>0</v>
      </c>
      <c r="S34">
        <f t="shared" si="6"/>
        <v>450</v>
      </c>
      <c r="U34" s="3"/>
      <c r="V34" s="3"/>
      <c r="W34">
        <f t="shared" si="7"/>
        <v>0</v>
      </c>
      <c r="X34" s="5">
        <f t="shared" si="8"/>
        <v>0</v>
      </c>
      <c r="AA34">
        <f t="shared" si="9"/>
        <v>450</v>
      </c>
      <c r="AC34" s="3"/>
      <c r="AD34" s="3"/>
      <c r="AE34">
        <f t="shared" si="10"/>
        <v>0</v>
      </c>
      <c r="AF34" s="5">
        <f t="shared" si="11"/>
        <v>0</v>
      </c>
      <c r="AI34">
        <f t="shared" si="12"/>
        <v>450</v>
      </c>
      <c r="AK34" s="4"/>
      <c r="AL34" s="3"/>
      <c r="AM34">
        <f t="shared" si="13"/>
        <v>0</v>
      </c>
      <c r="AN34" s="5">
        <f t="shared" si="14"/>
        <v>0</v>
      </c>
      <c r="AQ34">
        <f t="shared" si="15"/>
        <v>450</v>
      </c>
      <c r="AS34" s="3"/>
      <c r="AT34" s="3"/>
      <c r="AU34">
        <f t="shared" si="16"/>
        <v>0</v>
      </c>
      <c r="AV34" s="5">
        <f t="shared" si="17"/>
        <v>0</v>
      </c>
      <c r="AY34">
        <f t="shared" si="18"/>
        <v>450</v>
      </c>
      <c r="BA34" s="3"/>
      <c r="BB34" s="3"/>
      <c r="BC34">
        <f t="shared" si="19"/>
        <v>0</v>
      </c>
      <c r="BD34" s="5">
        <f t="shared" si="20"/>
        <v>0</v>
      </c>
      <c r="BG34">
        <f t="shared" si="21"/>
        <v>450</v>
      </c>
      <c r="BI34" s="3"/>
      <c r="BJ34" s="3"/>
      <c r="BK34">
        <f t="shared" si="22"/>
        <v>0</v>
      </c>
      <c r="BL34" s="5">
        <f t="shared" si="23"/>
        <v>0</v>
      </c>
    </row>
    <row r="35" spans="2:64" x14ac:dyDescent="0.3">
      <c r="B35">
        <v>-60</v>
      </c>
      <c r="C35">
        <f t="shared" si="0"/>
        <v>460</v>
      </c>
      <c r="E35" s="3"/>
      <c r="F35" s="3"/>
      <c r="G35">
        <f t="shared" si="1"/>
        <v>0</v>
      </c>
      <c r="H35" s="5">
        <f t="shared" si="2"/>
        <v>0</v>
      </c>
      <c r="K35">
        <f t="shared" si="3"/>
        <v>460</v>
      </c>
      <c r="M35" s="3"/>
      <c r="N35" s="3"/>
      <c r="O35">
        <f t="shared" si="4"/>
        <v>0</v>
      </c>
      <c r="P35" s="5">
        <f t="shared" si="5"/>
        <v>0</v>
      </c>
      <c r="S35">
        <f t="shared" si="6"/>
        <v>460</v>
      </c>
      <c r="U35" s="3"/>
      <c r="V35" s="3"/>
      <c r="W35">
        <f t="shared" si="7"/>
        <v>0</v>
      </c>
      <c r="X35" s="5">
        <f t="shared" si="8"/>
        <v>0</v>
      </c>
      <c r="AA35">
        <f t="shared" si="9"/>
        <v>460</v>
      </c>
      <c r="AC35" s="3"/>
      <c r="AD35" s="3"/>
      <c r="AE35">
        <f t="shared" si="10"/>
        <v>0</v>
      </c>
      <c r="AF35" s="5">
        <f t="shared" si="11"/>
        <v>0</v>
      </c>
      <c r="AI35">
        <f t="shared" si="12"/>
        <v>460</v>
      </c>
      <c r="AK35" s="3"/>
      <c r="AL35" s="3"/>
      <c r="AM35">
        <f t="shared" si="13"/>
        <v>0</v>
      </c>
      <c r="AN35" s="5">
        <f t="shared" si="14"/>
        <v>0</v>
      </c>
      <c r="AQ35">
        <f t="shared" si="15"/>
        <v>460</v>
      </c>
      <c r="AS35" s="3"/>
      <c r="AT35" s="3"/>
      <c r="AU35">
        <f t="shared" si="16"/>
        <v>0</v>
      </c>
      <c r="AV35" s="5">
        <f t="shared" si="17"/>
        <v>0</v>
      </c>
      <c r="AY35">
        <f t="shared" si="18"/>
        <v>460</v>
      </c>
      <c r="BA35" s="3"/>
      <c r="BB35" s="3"/>
      <c r="BC35">
        <f t="shared" si="19"/>
        <v>0</v>
      </c>
      <c r="BD35" s="5">
        <f t="shared" si="20"/>
        <v>0</v>
      </c>
      <c r="BG35">
        <f t="shared" si="21"/>
        <v>460</v>
      </c>
      <c r="BI35" s="3"/>
      <c r="BJ35" s="3"/>
      <c r="BK35">
        <f t="shared" si="22"/>
        <v>0</v>
      </c>
      <c r="BL35" s="5">
        <f t="shared" si="23"/>
        <v>0</v>
      </c>
    </row>
    <row r="36" spans="2:64" x14ac:dyDescent="0.3">
      <c r="B36">
        <v>-50</v>
      </c>
      <c r="C36">
        <f t="shared" si="0"/>
        <v>470</v>
      </c>
      <c r="E36" s="3"/>
      <c r="F36" s="3"/>
      <c r="G36">
        <f t="shared" si="1"/>
        <v>0</v>
      </c>
      <c r="H36" s="5">
        <f t="shared" si="2"/>
        <v>0</v>
      </c>
      <c r="K36">
        <f t="shared" si="3"/>
        <v>470</v>
      </c>
      <c r="M36" s="3"/>
      <c r="N36" s="3"/>
      <c r="O36">
        <f t="shared" si="4"/>
        <v>0</v>
      </c>
      <c r="P36" s="5">
        <f t="shared" si="5"/>
        <v>0</v>
      </c>
      <c r="S36">
        <f t="shared" si="6"/>
        <v>470</v>
      </c>
      <c r="U36" s="3"/>
      <c r="V36" s="3"/>
      <c r="W36">
        <f t="shared" si="7"/>
        <v>0</v>
      </c>
      <c r="X36" s="5">
        <f t="shared" si="8"/>
        <v>0</v>
      </c>
      <c r="AA36">
        <f t="shared" si="9"/>
        <v>470</v>
      </c>
      <c r="AC36" s="3"/>
      <c r="AD36" s="3"/>
      <c r="AE36">
        <f t="shared" si="10"/>
        <v>0</v>
      </c>
      <c r="AF36" s="5">
        <f t="shared" si="11"/>
        <v>0</v>
      </c>
      <c r="AI36">
        <f t="shared" si="12"/>
        <v>470</v>
      </c>
      <c r="AK36" s="3"/>
      <c r="AL36" s="3"/>
      <c r="AM36">
        <f t="shared" si="13"/>
        <v>0</v>
      </c>
      <c r="AN36" s="5">
        <f t="shared" si="14"/>
        <v>0</v>
      </c>
      <c r="AQ36">
        <f t="shared" si="15"/>
        <v>470</v>
      </c>
      <c r="AS36" s="3"/>
      <c r="AT36" s="3"/>
      <c r="AU36">
        <f t="shared" si="16"/>
        <v>0</v>
      </c>
      <c r="AV36" s="5">
        <f t="shared" si="17"/>
        <v>0</v>
      </c>
      <c r="AY36">
        <f t="shared" si="18"/>
        <v>470</v>
      </c>
      <c r="BA36" s="3"/>
      <c r="BB36" s="3"/>
      <c r="BC36">
        <f t="shared" si="19"/>
        <v>0</v>
      </c>
      <c r="BD36" s="5">
        <f t="shared" si="20"/>
        <v>0</v>
      </c>
      <c r="BG36">
        <f t="shared" si="21"/>
        <v>470</v>
      </c>
      <c r="BI36" s="3"/>
      <c r="BJ36" s="3"/>
      <c r="BK36">
        <f t="shared" si="22"/>
        <v>0</v>
      </c>
      <c r="BL36" s="5">
        <f t="shared" si="23"/>
        <v>0</v>
      </c>
    </row>
    <row r="37" spans="2:64" x14ac:dyDescent="0.3">
      <c r="B37">
        <v>-40</v>
      </c>
      <c r="C37">
        <f t="shared" si="0"/>
        <v>480</v>
      </c>
      <c r="E37" s="3"/>
      <c r="F37" s="3"/>
      <c r="G37">
        <f t="shared" si="1"/>
        <v>0</v>
      </c>
      <c r="H37" s="5">
        <f t="shared" si="2"/>
        <v>0</v>
      </c>
      <c r="K37">
        <f t="shared" si="3"/>
        <v>480</v>
      </c>
      <c r="M37" s="3"/>
      <c r="N37" s="3"/>
      <c r="O37">
        <f t="shared" si="4"/>
        <v>0</v>
      </c>
      <c r="P37" s="5">
        <f t="shared" si="5"/>
        <v>0</v>
      </c>
      <c r="S37">
        <f t="shared" si="6"/>
        <v>480</v>
      </c>
      <c r="U37" s="3"/>
      <c r="V37" s="3"/>
      <c r="W37">
        <f t="shared" si="7"/>
        <v>0</v>
      </c>
      <c r="X37" s="5">
        <f t="shared" si="8"/>
        <v>0</v>
      </c>
      <c r="AA37">
        <f t="shared" si="9"/>
        <v>480</v>
      </c>
      <c r="AC37" s="3"/>
      <c r="AD37" s="3"/>
      <c r="AE37">
        <f t="shared" si="10"/>
        <v>0</v>
      </c>
      <c r="AF37" s="5">
        <f t="shared" si="11"/>
        <v>0</v>
      </c>
      <c r="AI37">
        <f t="shared" si="12"/>
        <v>480</v>
      </c>
      <c r="AK37" s="3"/>
      <c r="AL37" s="3"/>
      <c r="AM37">
        <f t="shared" si="13"/>
        <v>0</v>
      </c>
      <c r="AN37" s="5">
        <f t="shared" si="14"/>
        <v>0</v>
      </c>
      <c r="AQ37">
        <f t="shared" si="15"/>
        <v>480</v>
      </c>
      <c r="AS37" s="3"/>
      <c r="AT37" s="3"/>
      <c r="AU37">
        <f t="shared" si="16"/>
        <v>0</v>
      </c>
      <c r="AV37" s="5">
        <f t="shared" si="17"/>
        <v>0</v>
      </c>
      <c r="AY37">
        <f t="shared" si="18"/>
        <v>480</v>
      </c>
      <c r="BA37" s="3"/>
      <c r="BB37" s="3"/>
      <c r="BC37">
        <f t="shared" si="19"/>
        <v>0</v>
      </c>
      <c r="BD37" s="5">
        <f t="shared" si="20"/>
        <v>0</v>
      </c>
      <c r="BG37">
        <f t="shared" si="21"/>
        <v>480</v>
      </c>
      <c r="BI37" s="3"/>
      <c r="BJ37" s="3"/>
      <c r="BK37">
        <f t="shared" si="22"/>
        <v>0</v>
      </c>
      <c r="BL37" s="5">
        <f t="shared" si="23"/>
        <v>0</v>
      </c>
    </row>
    <row r="38" spans="2:64" x14ac:dyDescent="0.3">
      <c r="B38">
        <v>-30</v>
      </c>
      <c r="C38">
        <f t="shared" si="0"/>
        <v>490</v>
      </c>
      <c r="E38" s="3"/>
      <c r="F38" s="3"/>
      <c r="G38">
        <f t="shared" si="1"/>
        <v>0</v>
      </c>
      <c r="H38" s="5">
        <f t="shared" si="2"/>
        <v>0</v>
      </c>
      <c r="K38">
        <f t="shared" si="3"/>
        <v>490</v>
      </c>
      <c r="M38" s="3"/>
      <c r="N38" s="3"/>
      <c r="O38">
        <f t="shared" si="4"/>
        <v>0</v>
      </c>
      <c r="P38" s="5">
        <f t="shared" si="5"/>
        <v>0</v>
      </c>
      <c r="S38">
        <f t="shared" si="6"/>
        <v>490</v>
      </c>
      <c r="U38" s="3"/>
      <c r="V38" s="3"/>
      <c r="W38">
        <f t="shared" si="7"/>
        <v>0</v>
      </c>
      <c r="X38" s="5">
        <f t="shared" si="8"/>
        <v>0</v>
      </c>
      <c r="AA38">
        <f t="shared" si="9"/>
        <v>490</v>
      </c>
      <c r="AC38" s="3"/>
      <c r="AD38" s="3"/>
      <c r="AE38">
        <f t="shared" si="10"/>
        <v>0</v>
      </c>
      <c r="AF38" s="5">
        <f t="shared" si="11"/>
        <v>0</v>
      </c>
      <c r="AI38">
        <f t="shared" si="12"/>
        <v>490</v>
      </c>
      <c r="AK38" s="3"/>
      <c r="AL38" s="3"/>
      <c r="AM38">
        <f t="shared" si="13"/>
        <v>0</v>
      </c>
      <c r="AN38" s="5">
        <f t="shared" si="14"/>
        <v>0</v>
      </c>
      <c r="AQ38">
        <f t="shared" si="15"/>
        <v>490</v>
      </c>
      <c r="AS38" s="3"/>
      <c r="AT38" s="3"/>
      <c r="AU38">
        <f t="shared" si="16"/>
        <v>0</v>
      </c>
      <c r="AV38" s="5">
        <f t="shared" si="17"/>
        <v>0</v>
      </c>
      <c r="AY38">
        <f t="shared" si="18"/>
        <v>490</v>
      </c>
      <c r="BA38" s="3"/>
      <c r="BB38" s="3"/>
      <c r="BC38">
        <f t="shared" si="19"/>
        <v>0</v>
      </c>
      <c r="BD38" s="5">
        <f t="shared" si="20"/>
        <v>0</v>
      </c>
      <c r="BG38">
        <f t="shared" si="21"/>
        <v>490</v>
      </c>
      <c r="BI38" s="3"/>
      <c r="BJ38" s="3"/>
      <c r="BK38">
        <f t="shared" si="22"/>
        <v>0</v>
      </c>
      <c r="BL38" s="5">
        <f t="shared" si="23"/>
        <v>0</v>
      </c>
    </row>
    <row r="39" spans="2:64" x14ac:dyDescent="0.3">
      <c r="B39">
        <v>-20</v>
      </c>
      <c r="C39">
        <f t="shared" si="0"/>
        <v>500</v>
      </c>
      <c r="E39" s="3"/>
      <c r="F39" s="3"/>
      <c r="G39">
        <f t="shared" si="1"/>
        <v>0</v>
      </c>
      <c r="H39" s="5">
        <f t="shared" si="2"/>
        <v>0</v>
      </c>
      <c r="K39">
        <f>K38+10</f>
        <v>500</v>
      </c>
      <c r="M39" s="3"/>
      <c r="N39" s="3"/>
      <c r="O39">
        <f t="shared" si="4"/>
        <v>0</v>
      </c>
      <c r="P39" s="5">
        <f t="shared" si="5"/>
        <v>0</v>
      </c>
      <c r="S39">
        <f>S38+10</f>
        <v>500</v>
      </c>
      <c r="U39" s="3"/>
      <c r="V39" s="3"/>
      <c r="W39">
        <f t="shared" si="7"/>
        <v>0</v>
      </c>
      <c r="X39" s="5">
        <f t="shared" si="8"/>
        <v>0</v>
      </c>
      <c r="AA39">
        <f>AA38+10</f>
        <v>500</v>
      </c>
      <c r="AC39" s="3"/>
      <c r="AD39" s="3"/>
      <c r="AE39">
        <f t="shared" si="10"/>
        <v>0</v>
      </c>
      <c r="AF39" s="5">
        <f t="shared" si="11"/>
        <v>0</v>
      </c>
      <c r="AI39">
        <f>AI38+10</f>
        <v>500</v>
      </c>
      <c r="AK39" s="3"/>
      <c r="AL39" s="3"/>
      <c r="AM39">
        <f t="shared" si="13"/>
        <v>0</v>
      </c>
      <c r="AN39" s="5">
        <f t="shared" si="14"/>
        <v>0</v>
      </c>
      <c r="AQ39">
        <f>AQ38+10</f>
        <v>500</v>
      </c>
      <c r="AS39" s="3"/>
      <c r="AT39" s="3"/>
      <c r="AU39">
        <f t="shared" si="16"/>
        <v>0</v>
      </c>
      <c r="AV39" s="5">
        <f t="shared" si="17"/>
        <v>0</v>
      </c>
      <c r="AY39">
        <f>AY38+10</f>
        <v>500</v>
      </c>
      <c r="BA39" s="3"/>
      <c r="BB39" s="3"/>
      <c r="BC39">
        <f t="shared" si="19"/>
        <v>0</v>
      </c>
      <c r="BD39" s="5">
        <f t="shared" si="20"/>
        <v>0</v>
      </c>
      <c r="BG39">
        <f>BG38+10</f>
        <v>500</v>
      </c>
      <c r="BI39" s="3"/>
      <c r="BJ39" s="3"/>
      <c r="BK39">
        <f t="shared" si="22"/>
        <v>0</v>
      </c>
      <c r="BL39" s="5">
        <f t="shared" si="23"/>
        <v>0</v>
      </c>
    </row>
    <row r="40" spans="2:64" x14ac:dyDescent="0.3">
      <c r="B40">
        <v>-10</v>
      </c>
      <c r="C40">
        <f t="shared" si="0"/>
        <v>510</v>
      </c>
      <c r="E40" s="3"/>
      <c r="F40" s="3"/>
      <c r="G40">
        <f t="shared" si="1"/>
        <v>0</v>
      </c>
      <c r="H40" s="5">
        <f t="shared" si="2"/>
        <v>0</v>
      </c>
      <c r="K40">
        <f t="shared" si="3"/>
        <v>510</v>
      </c>
      <c r="M40" s="3"/>
      <c r="N40" s="3"/>
      <c r="O40">
        <f t="shared" si="4"/>
        <v>0</v>
      </c>
      <c r="P40" s="5">
        <f t="shared" si="5"/>
        <v>0</v>
      </c>
      <c r="S40">
        <f t="shared" si="6"/>
        <v>510</v>
      </c>
      <c r="U40" s="3"/>
      <c r="V40" s="3"/>
      <c r="W40">
        <f t="shared" si="7"/>
        <v>0</v>
      </c>
      <c r="X40" s="5">
        <f t="shared" si="8"/>
        <v>0</v>
      </c>
      <c r="AA40">
        <f t="shared" si="9"/>
        <v>510</v>
      </c>
      <c r="AC40" s="3"/>
      <c r="AD40" s="3"/>
      <c r="AE40">
        <f t="shared" si="10"/>
        <v>0</v>
      </c>
      <c r="AF40" s="5">
        <f t="shared" si="11"/>
        <v>0</v>
      </c>
      <c r="AI40">
        <f t="shared" si="12"/>
        <v>510</v>
      </c>
      <c r="AK40" s="3"/>
      <c r="AL40" s="3"/>
      <c r="AM40">
        <f t="shared" si="13"/>
        <v>0</v>
      </c>
      <c r="AN40" s="5">
        <f t="shared" si="14"/>
        <v>0</v>
      </c>
      <c r="AQ40">
        <f t="shared" si="15"/>
        <v>510</v>
      </c>
      <c r="AS40" s="3"/>
      <c r="AT40" s="3"/>
      <c r="AU40">
        <f t="shared" si="16"/>
        <v>0</v>
      </c>
      <c r="AV40" s="5">
        <f t="shared" si="17"/>
        <v>0</v>
      </c>
      <c r="AY40">
        <f t="shared" si="18"/>
        <v>510</v>
      </c>
      <c r="BA40" s="3"/>
      <c r="BB40" s="3"/>
      <c r="BC40">
        <f t="shared" si="19"/>
        <v>0</v>
      </c>
      <c r="BD40" s="5">
        <f t="shared" si="20"/>
        <v>0</v>
      </c>
      <c r="BG40">
        <f t="shared" si="21"/>
        <v>510</v>
      </c>
      <c r="BI40" s="3"/>
      <c r="BJ40" s="3"/>
      <c r="BK40">
        <f t="shared" si="22"/>
        <v>0</v>
      </c>
      <c r="BL40" s="5">
        <f t="shared" si="23"/>
        <v>0</v>
      </c>
    </row>
    <row r="41" spans="2:64" x14ac:dyDescent="0.3">
      <c r="B41">
        <v>0</v>
      </c>
      <c r="C41">
        <f t="shared" si="0"/>
        <v>520</v>
      </c>
      <c r="E41" s="3"/>
      <c r="F41" s="3"/>
      <c r="G41">
        <f t="shared" si="1"/>
        <v>0</v>
      </c>
      <c r="H41" s="5">
        <f t="shared" si="2"/>
        <v>0</v>
      </c>
      <c r="K41">
        <f t="shared" si="3"/>
        <v>520</v>
      </c>
      <c r="M41" s="3"/>
      <c r="N41" s="3"/>
      <c r="O41">
        <f t="shared" si="4"/>
        <v>0</v>
      </c>
      <c r="P41" s="5">
        <f t="shared" si="5"/>
        <v>0</v>
      </c>
      <c r="S41">
        <f t="shared" si="6"/>
        <v>520</v>
      </c>
      <c r="U41" s="3"/>
      <c r="V41" s="3"/>
      <c r="W41">
        <f t="shared" si="7"/>
        <v>0</v>
      </c>
      <c r="X41" s="5">
        <f t="shared" si="8"/>
        <v>0</v>
      </c>
      <c r="AA41">
        <f t="shared" si="9"/>
        <v>520</v>
      </c>
      <c r="AC41" s="3"/>
      <c r="AD41" s="3"/>
      <c r="AE41">
        <f t="shared" si="10"/>
        <v>0</v>
      </c>
      <c r="AF41" s="5">
        <f t="shared" si="11"/>
        <v>0</v>
      </c>
      <c r="AI41">
        <f t="shared" si="12"/>
        <v>520</v>
      </c>
      <c r="AK41" s="3"/>
      <c r="AL41" s="3"/>
      <c r="AM41">
        <f t="shared" si="13"/>
        <v>0</v>
      </c>
      <c r="AN41" s="5">
        <f t="shared" si="14"/>
        <v>0</v>
      </c>
      <c r="AQ41">
        <f t="shared" si="15"/>
        <v>520</v>
      </c>
      <c r="AS41" s="3"/>
      <c r="AT41" s="3"/>
      <c r="AU41">
        <f t="shared" si="16"/>
        <v>0</v>
      </c>
      <c r="AV41" s="5">
        <f t="shared" si="17"/>
        <v>0</v>
      </c>
      <c r="AY41">
        <f t="shared" si="18"/>
        <v>520</v>
      </c>
      <c r="BA41" s="3"/>
      <c r="BB41" s="3"/>
      <c r="BC41">
        <f t="shared" si="19"/>
        <v>0</v>
      </c>
      <c r="BD41" s="5">
        <f t="shared" si="20"/>
        <v>0</v>
      </c>
      <c r="BG41">
        <f t="shared" si="21"/>
        <v>520</v>
      </c>
      <c r="BI41" s="3"/>
      <c r="BJ41" s="3"/>
      <c r="BK41">
        <f t="shared" si="22"/>
        <v>0</v>
      </c>
      <c r="BL41" s="5">
        <f t="shared" si="23"/>
        <v>0</v>
      </c>
    </row>
    <row r="65" spans="71:71" x14ac:dyDescent="0.3">
      <c r="BS65"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28B2-58F0-474E-8A4F-2A36BB43F7DB}">
  <dimension ref="A1:CB41"/>
  <sheetViews>
    <sheetView zoomScale="97" zoomScaleNormal="48" workbookViewId="0">
      <selection activeCell="CD28" sqref="CD28"/>
    </sheetView>
  </sheetViews>
  <sheetFormatPr defaultRowHeight="14.4" x14ac:dyDescent="0.3"/>
  <cols>
    <col min="1" max="1" width="10.33203125" bestFit="1" customWidth="1"/>
    <col min="5" max="6" width="9" bestFit="1" customWidth="1"/>
    <col min="7" max="8" width="13" bestFit="1" customWidth="1"/>
    <col min="9" max="14" width="9" bestFit="1" customWidth="1"/>
    <col min="15" max="16" width="13" bestFit="1" customWidth="1"/>
    <col min="17" max="21" width="9" bestFit="1" customWidth="1"/>
    <col min="23" max="24" width="13" bestFit="1" customWidth="1"/>
    <col min="25" max="28" width="9" bestFit="1" customWidth="1"/>
    <col min="31" max="36" width="9" bestFit="1" customWidth="1"/>
    <col min="39" max="44" width="9" bestFit="1" customWidth="1"/>
    <col min="47" max="51" width="9" bestFit="1" customWidth="1"/>
  </cols>
  <sheetData>
    <row r="1" spans="1:80" x14ac:dyDescent="0.3">
      <c r="A1" s="1">
        <v>45806</v>
      </c>
    </row>
    <row r="2" spans="1:80" x14ac:dyDescent="0.3">
      <c r="A2" t="s">
        <v>0</v>
      </c>
    </row>
    <row r="4" spans="1:80" x14ac:dyDescent="0.3">
      <c r="A4" s="2" t="s">
        <v>1</v>
      </c>
      <c r="B4" s="2" t="s">
        <v>2</v>
      </c>
      <c r="C4" s="2" t="s">
        <v>5</v>
      </c>
      <c r="D4" s="2" t="s">
        <v>6</v>
      </c>
      <c r="E4" s="2" t="s">
        <v>3</v>
      </c>
      <c r="F4" s="2" t="s">
        <v>4</v>
      </c>
      <c r="G4" s="7" t="s">
        <v>16</v>
      </c>
      <c r="H4" s="6" t="s">
        <v>17</v>
      </c>
      <c r="I4" s="2" t="s">
        <v>1</v>
      </c>
      <c r="J4" s="2" t="s">
        <v>2</v>
      </c>
      <c r="K4" s="2" t="s">
        <v>5</v>
      </c>
      <c r="L4" s="2" t="s">
        <v>6</v>
      </c>
      <c r="M4" s="2" t="s">
        <v>3</v>
      </c>
      <c r="N4" s="2" t="s">
        <v>4</v>
      </c>
      <c r="O4" s="7" t="s">
        <v>16</v>
      </c>
      <c r="P4" s="6" t="s">
        <v>17</v>
      </c>
      <c r="Q4" s="2" t="s">
        <v>1</v>
      </c>
      <c r="R4" s="2" t="s">
        <v>2</v>
      </c>
      <c r="S4" s="2" t="s">
        <v>5</v>
      </c>
      <c r="T4" s="2" t="s">
        <v>6</v>
      </c>
      <c r="U4" s="2" t="s">
        <v>3</v>
      </c>
      <c r="V4" s="2" t="s">
        <v>4</v>
      </c>
      <c r="W4" s="7" t="s">
        <v>16</v>
      </c>
      <c r="X4" s="6" t="s">
        <v>17</v>
      </c>
      <c r="Y4" s="2" t="s">
        <v>1</v>
      </c>
      <c r="Z4" s="2" t="s">
        <v>2</v>
      </c>
      <c r="AA4" s="2" t="s">
        <v>5</v>
      </c>
      <c r="AB4" s="2" t="s">
        <v>6</v>
      </c>
      <c r="AC4" s="2" t="s">
        <v>3</v>
      </c>
      <c r="AD4" s="2" t="s">
        <v>4</v>
      </c>
      <c r="AE4" s="7" t="s">
        <v>16</v>
      </c>
      <c r="AF4" s="6" t="s">
        <v>17</v>
      </c>
      <c r="AG4" s="2" t="s">
        <v>1</v>
      </c>
      <c r="AH4" s="2" t="s">
        <v>2</v>
      </c>
      <c r="AI4" s="2" t="s">
        <v>5</v>
      </c>
      <c r="AJ4" s="2" t="s">
        <v>6</v>
      </c>
      <c r="AK4" s="2" t="s">
        <v>3</v>
      </c>
      <c r="AL4" s="2" t="s">
        <v>4</v>
      </c>
      <c r="AM4" s="7" t="s">
        <v>16</v>
      </c>
      <c r="AN4" s="6" t="s">
        <v>17</v>
      </c>
      <c r="AO4" s="2" t="s">
        <v>1</v>
      </c>
      <c r="AP4" s="2" t="s">
        <v>2</v>
      </c>
      <c r="AQ4" s="2" t="s">
        <v>5</v>
      </c>
      <c r="AR4" s="2" t="s">
        <v>6</v>
      </c>
      <c r="AS4" s="2" t="s">
        <v>3</v>
      </c>
      <c r="AT4" s="2" t="s">
        <v>4</v>
      </c>
      <c r="AU4" s="7" t="s">
        <v>16</v>
      </c>
      <c r="AV4" s="6" t="s">
        <v>17</v>
      </c>
      <c r="AW4" s="2" t="s">
        <v>1</v>
      </c>
      <c r="AX4" s="2" t="s">
        <v>2</v>
      </c>
      <c r="AY4" s="2" t="s">
        <v>5</v>
      </c>
      <c r="AZ4" s="2" t="s">
        <v>6</v>
      </c>
      <c r="BA4" s="2" t="s">
        <v>3</v>
      </c>
      <c r="BB4" s="2" t="s">
        <v>4</v>
      </c>
      <c r="BC4" s="7" t="s">
        <v>16</v>
      </c>
      <c r="BD4" s="6" t="s">
        <v>17</v>
      </c>
      <c r="BE4" s="2" t="s">
        <v>1</v>
      </c>
      <c r="BF4" s="2" t="s">
        <v>2</v>
      </c>
      <c r="BG4" s="2" t="s">
        <v>5</v>
      </c>
      <c r="BH4" s="2" t="s">
        <v>6</v>
      </c>
      <c r="BI4" s="2" t="s">
        <v>3</v>
      </c>
      <c r="BJ4" s="2" t="s">
        <v>4</v>
      </c>
      <c r="BK4" s="7" t="s">
        <v>16</v>
      </c>
      <c r="BL4" s="6" t="s">
        <v>17</v>
      </c>
      <c r="BM4" s="2" t="s">
        <v>1</v>
      </c>
      <c r="BN4" s="2" t="s">
        <v>2</v>
      </c>
      <c r="BO4" s="2" t="s">
        <v>5</v>
      </c>
      <c r="BP4" s="2" t="s">
        <v>6</v>
      </c>
      <c r="BQ4" s="2" t="s">
        <v>3</v>
      </c>
      <c r="BR4" s="2" t="s">
        <v>4</v>
      </c>
      <c r="BS4" s="7" t="s">
        <v>16</v>
      </c>
      <c r="BT4" s="6" t="s">
        <v>17</v>
      </c>
      <c r="BU4" s="2" t="s">
        <v>1</v>
      </c>
      <c r="BV4" s="2" t="s">
        <v>2</v>
      </c>
      <c r="BW4" s="2" t="s">
        <v>5</v>
      </c>
      <c r="BX4" s="2" t="s">
        <v>6</v>
      </c>
      <c r="BY4" s="2" t="s">
        <v>3</v>
      </c>
      <c r="BZ4" s="2" t="s">
        <v>4</v>
      </c>
      <c r="CA4" s="7" t="s">
        <v>16</v>
      </c>
      <c r="CB4" s="6" t="s">
        <v>17</v>
      </c>
    </row>
    <row r="5" spans="1:80" x14ac:dyDescent="0.3">
      <c r="A5">
        <v>0</v>
      </c>
      <c r="B5">
        <v>0.5</v>
      </c>
      <c r="C5">
        <v>0</v>
      </c>
      <c r="D5">
        <v>0.5</v>
      </c>
      <c r="E5" s="3">
        <v>160.30000000000001</v>
      </c>
      <c r="F5" s="3">
        <v>0.4</v>
      </c>
      <c r="G5" s="11">
        <f>E5/1000*COS(RADIANS(C5))</f>
        <v>0.1603</v>
      </c>
      <c r="H5" s="12">
        <f>E5/1000*SIN(RADIANS(C5))</f>
        <v>0</v>
      </c>
      <c r="I5">
        <v>30</v>
      </c>
      <c r="J5">
        <v>0.5</v>
      </c>
      <c r="K5">
        <v>0</v>
      </c>
      <c r="L5">
        <v>0.5</v>
      </c>
      <c r="M5" s="3">
        <v>117.4</v>
      </c>
      <c r="N5" s="3">
        <f>118.7-118.2</f>
        <v>0.5</v>
      </c>
      <c r="O5" s="11">
        <f>M5/1000*COS(RADIANS(K5))</f>
        <v>0.1174</v>
      </c>
      <c r="P5" s="12">
        <f>M5/1000*SIN(RADIANS(K5))</f>
        <v>0</v>
      </c>
      <c r="Q5">
        <v>45</v>
      </c>
      <c r="R5">
        <v>0.5</v>
      </c>
      <c r="S5">
        <v>0</v>
      </c>
      <c r="T5">
        <v>0.5</v>
      </c>
      <c r="U5" s="9">
        <v>81.819999999999993</v>
      </c>
      <c r="V5" s="9"/>
      <c r="W5" s="11">
        <f>U5/1000*COS(RADIANS(S5))</f>
        <v>8.181999999999999E-2</v>
      </c>
      <c r="X5" s="12">
        <f>U5/1000*SIN(RADIANS(S5))</f>
        <v>0</v>
      </c>
      <c r="Y5">
        <v>60</v>
      </c>
      <c r="Z5">
        <v>0.5</v>
      </c>
      <c r="AA5">
        <v>0</v>
      </c>
      <c r="AB5">
        <v>0.5</v>
      </c>
      <c r="AC5" s="3">
        <v>102.1</v>
      </c>
      <c r="AD5" s="3">
        <f>106.3-101.7</f>
        <v>4.5999999999999943</v>
      </c>
      <c r="AE5" s="11">
        <f>AC5/1000*COS(RADIANS(AA5))</f>
        <v>0.1021</v>
      </c>
      <c r="AF5" s="12">
        <f>AC5/1000*SIN(RADIANS(AA5))</f>
        <v>0</v>
      </c>
      <c r="AG5">
        <v>90</v>
      </c>
      <c r="AH5">
        <v>0.5</v>
      </c>
      <c r="AI5">
        <v>0</v>
      </c>
      <c r="AJ5">
        <v>0.5</v>
      </c>
      <c r="AK5" s="3">
        <v>156.1</v>
      </c>
      <c r="AL5" s="3"/>
      <c r="AM5" s="11">
        <f>AK5/1000*COS(RADIANS(AI5))</f>
        <v>0.15609999999999999</v>
      </c>
      <c r="AN5" s="12">
        <f>AK5/1000*SIN(RADIANS(AI5))</f>
        <v>0</v>
      </c>
      <c r="AO5">
        <v>-30</v>
      </c>
      <c r="AP5">
        <v>0.5</v>
      </c>
      <c r="AQ5">
        <v>0</v>
      </c>
      <c r="AR5">
        <v>0.5</v>
      </c>
      <c r="AS5" s="9">
        <v>81.709999999999994</v>
      </c>
      <c r="AT5" s="9"/>
      <c r="AU5" s="11">
        <f>AS5/1000*COS(RADIANS(AQ5))</f>
        <v>8.1709999999999991E-2</v>
      </c>
      <c r="AV5" s="12">
        <f>AS5/1000*SIN(RADIANS(AQ5))</f>
        <v>0</v>
      </c>
      <c r="AW5">
        <v>-45</v>
      </c>
      <c r="AX5">
        <v>0.5</v>
      </c>
      <c r="AY5">
        <v>0</v>
      </c>
      <c r="AZ5">
        <v>0.5</v>
      </c>
      <c r="BA5" s="9">
        <v>80.22</v>
      </c>
      <c r="BB5" s="9">
        <v>1.2</v>
      </c>
      <c r="BC5" s="11">
        <f>BA5/1000*COS(RADIANS(AY5))</f>
        <v>8.022E-2</v>
      </c>
      <c r="BD5" s="12">
        <f>BA5/1000*SIN(RADIANS(AY5))</f>
        <v>0</v>
      </c>
      <c r="BE5">
        <v>-60</v>
      </c>
      <c r="BF5">
        <v>0.5</v>
      </c>
      <c r="BG5">
        <v>0</v>
      </c>
      <c r="BH5">
        <v>0.5</v>
      </c>
      <c r="BI5" s="3">
        <v>115.1</v>
      </c>
      <c r="BJ5" s="3"/>
      <c r="BK5" s="11">
        <f>BI5/1000*COS(RADIANS(BG5))</f>
        <v>0.11509999999999999</v>
      </c>
      <c r="BL5" s="12">
        <f>BI5/1000*SIN(RADIANS(BG5))</f>
        <v>0</v>
      </c>
      <c r="BM5">
        <v>180</v>
      </c>
      <c r="BN5">
        <v>0.5</v>
      </c>
      <c r="BO5">
        <v>0</v>
      </c>
      <c r="BP5">
        <v>0.5</v>
      </c>
      <c r="BQ5" s="3">
        <v>159</v>
      </c>
      <c r="BR5" s="3">
        <f>159.4-158.7</f>
        <v>0.70000000000001705</v>
      </c>
      <c r="BS5" s="11">
        <f>BQ5/1000*COS(RADIANS(BO5))</f>
        <v>0.159</v>
      </c>
      <c r="BT5" s="12">
        <f>BQ5/1000*SIN(RADIANS(BO5))</f>
        <v>0</v>
      </c>
      <c r="BU5">
        <v>270</v>
      </c>
      <c r="BV5">
        <v>0.5</v>
      </c>
      <c r="BW5">
        <v>0</v>
      </c>
      <c r="BX5">
        <v>0.5</v>
      </c>
      <c r="BY5" s="3">
        <v>155.5</v>
      </c>
      <c r="BZ5" s="3"/>
      <c r="CA5" s="11">
        <f>BY5/1000*COS(RADIANS(BW5))</f>
        <v>0.1555</v>
      </c>
      <c r="CB5" s="12">
        <f>BY5/1000*SIN(RADIANS(BW5))</f>
        <v>0</v>
      </c>
    </row>
    <row r="6" spans="1:80" x14ac:dyDescent="0.3">
      <c r="C6">
        <f>C5+15</f>
        <v>15</v>
      </c>
      <c r="E6" s="3">
        <v>150.30000000000001</v>
      </c>
      <c r="F6" s="3"/>
      <c r="G6" s="11">
        <f t="shared" ref="G6:G29" si="0">E6/1000*COS(RADIANS(C6))</f>
        <v>0.145178651691247</v>
      </c>
      <c r="H6" s="12">
        <f t="shared" ref="H6:H29" si="1">E6/1000*SIN(RADIANS(C6))</f>
        <v>3.8900502478908874E-2</v>
      </c>
      <c r="K6">
        <f>K5+15</f>
        <v>15</v>
      </c>
      <c r="M6" s="3">
        <v>120.1</v>
      </c>
      <c r="N6" s="3"/>
      <c r="O6" s="11">
        <f t="shared" ref="O6:O29" si="2">M6/1000*COS(RADIANS(K6))</f>
        <v>0.11600769173731711</v>
      </c>
      <c r="P6" s="12">
        <f t="shared" ref="P6:P29" si="3">M6/1000*SIN(RADIANS(K6))</f>
        <v>3.1084167316812742E-2</v>
      </c>
      <c r="S6">
        <f>S5+15</f>
        <v>15</v>
      </c>
      <c r="U6" s="9">
        <v>83.63</v>
      </c>
      <c r="V6" s="9"/>
      <c r="W6" s="11">
        <f t="shared" ref="W6:W29" si="4">U6/1000*COS(RADIANS(S6))</f>
        <v>8.0780376852554778E-2</v>
      </c>
      <c r="X6" s="12">
        <f t="shared" ref="X6:X29" si="5">U6/1000*SIN(RADIANS(S6))</f>
        <v>2.164503674192381E-2</v>
      </c>
      <c r="AA6">
        <f>AA5+15</f>
        <v>15</v>
      </c>
      <c r="AC6" s="9">
        <v>81.11</v>
      </c>
      <c r="AD6" s="9"/>
      <c r="AE6" s="11">
        <f t="shared" ref="AE6:AE29" si="6">AC6/1000*COS(RADIANS(AA6))</f>
        <v>7.8346243770306329E-2</v>
      </c>
      <c r="AF6" s="12">
        <f t="shared" ref="AF6:AF29" si="7">AC6/1000*SIN(RADIANS(AA6))</f>
        <v>2.0992812748265456E-2</v>
      </c>
      <c r="AI6">
        <f>AI5+15</f>
        <v>15</v>
      </c>
      <c r="AK6" s="3">
        <v>136</v>
      </c>
      <c r="AL6" s="3"/>
      <c r="AM6" s="11">
        <f t="shared" ref="AM6:AM29" si="8">AK6/1000*COS(RADIANS(AI6))</f>
        <v>0.13136591237531331</v>
      </c>
      <c r="AN6" s="12">
        <f t="shared" ref="AN6:AN29" si="9">AK6/1000*SIN(RADIANS(AI6))</f>
        <v>3.5199390133942826E-2</v>
      </c>
      <c r="AO6">
        <v>330</v>
      </c>
      <c r="AQ6">
        <f>AQ5+15</f>
        <v>15</v>
      </c>
      <c r="AS6" s="9">
        <v>69.12</v>
      </c>
      <c r="AT6" s="9"/>
      <c r="AU6" s="11">
        <f t="shared" ref="AU6:AU29" si="10">AS6/1000*COS(RADIANS(AQ6))</f>
        <v>6.6764793113100407E-2</v>
      </c>
      <c r="AV6" s="12">
        <f t="shared" ref="AV6:AV29" si="11">AS6/1000*SIN(RADIANS(AQ6))</f>
        <v>1.7889572397486234E-2</v>
      </c>
      <c r="AW6">
        <v>315</v>
      </c>
      <c r="AY6">
        <f>AY5+15</f>
        <v>15</v>
      </c>
      <c r="BA6" s="9">
        <v>80.099999999999994</v>
      </c>
      <c r="BB6" s="9"/>
      <c r="BC6" s="11">
        <f t="shared" ref="BC6:BC29" si="12">BA6/1000*COS(RADIANS(AY6))</f>
        <v>7.7370658685754365E-2</v>
      </c>
      <c r="BD6" s="12">
        <f t="shared" ref="BD6:BD29" si="13">BA6/1000*SIN(RADIANS(AY6))</f>
        <v>2.0731405512711909E-2</v>
      </c>
      <c r="BE6">
        <v>300</v>
      </c>
      <c r="BG6">
        <f>BG5+15</f>
        <v>15</v>
      </c>
      <c r="BI6" s="3">
        <v>119.9</v>
      </c>
      <c r="BJ6" s="3"/>
      <c r="BK6" s="11">
        <f t="shared" ref="BK6:BK29" si="14">BI6/1000*COS(RADIANS(BG6))</f>
        <v>0.1158145065720593</v>
      </c>
      <c r="BL6" s="12">
        <f t="shared" ref="BL6:BL29" si="15">BI6/1000*SIN(RADIANS(BG6))</f>
        <v>3.1032403507792239E-2</v>
      </c>
      <c r="BO6">
        <f>BO5+15</f>
        <v>15</v>
      </c>
      <c r="BQ6" s="3">
        <v>128.6</v>
      </c>
      <c r="BR6" s="3"/>
      <c r="BS6" s="11">
        <f t="shared" ref="BS6:BS29" si="16">BQ6/1000*COS(RADIANS(BO6))</f>
        <v>0.12421806126077417</v>
      </c>
      <c r="BT6" s="12">
        <f t="shared" ref="BT6:BT29" si="17">BQ6/1000*SIN(RADIANS(BO6))</f>
        <v>3.3284129200184163E-2</v>
      </c>
      <c r="BU6">
        <v>-90</v>
      </c>
      <c r="BW6">
        <f>BW5+15</f>
        <v>15</v>
      </c>
      <c r="BY6" s="3">
        <v>129.30000000000001</v>
      </c>
      <c r="BZ6" s="3"/>
      <c r="CA6" s="11">
        <f t="shared" ref="CA6:CA29" si="18">BY6/1000*COS(RADIANS(BW6))</f>
        <v>0.12489420933917653</v>
      </c>
      <c r="CB6" s="12">
        <f t="shared" ref="CB6:CB29" si="19">BY6/1000*SIN(RADIANS(BW6))</f>
        <v>3.3465302531755933E-2</v>
      </c>
    </row>
    <row r="7" spans="1:80" x14ac:dyDescent="0.3">
      <c r="C7">
        <f t="shared" ref="C7:C29" si="20">C6+15</f>
        <v>30</v>
      </c>
      <c r="E7" s="3">
        <v>118.6</v>
      </c>
      <c r="F7" s="3"/>
      <c r="G7" s="11">
        <f t="shared" si="0"/>
        <v>0.10271061288883443</v>
      </c>
      <c r="H7" s="12">
        <f t="shared" si="1"/>
        <v>5.9299999999999992E-2</v>
      </c>
      <c r="K7">
        <f t="shared" ref="K7:K29" si="21">K6+15</f>
        <v>30</v>
      </c>
      <c r="M7" s="3">
        <v>119.9</v>
      </c>
      <c r="N7" s="3"/>
      <c r="O7" s="11">
        <f t="shared" si="2"/>
        <v>0.10383644591375421</v>
      </c>
      <c r="P7" s="12">
        <f t="shared" si="3"/>
        <v>5.9949999999999996E-2</v>
      </c>
      <c r="S7">
        <f t="shared" ref="S7:S29" si="22">S6+15</f>
        <v>30</v>
      </c>
      <c r="U7" s="9">
        <v>82.12</v>
      </c>
      <c r="V7" s="9"/>
      <c r="W7" s="11">
        <f t="shared" si="4"/>
        <v>7.1118006158778099E-2</v>
      </c>
      <c r="X7" s="12">
        <f t="shared" si="5"/>
        <v>4.1059999999999992E-2</v>
      </c>
      <c r="AA7">
        <f t="shared" ref="AA7:AA29" si="23">AA6+15</f>
        <v>30</v>
      </c>
      <c r="AC7" s="9">
        <v>73.13</v>
      </c>
      <c r="AD7" s="9"/>
      <c r="AE7" s="11">
        <f t="shared" si="6"/>
        <v>6.3332437778756009E-2</v>
      </c>
      <c r="AF7" s="12">
        <f t="shared" si="7"/>
        <v>3.6564999999999993E-2</v>
      </c>
      <c r="AI7">
        <f t="shared" ref="AI7:AI29" si="24">AI6+15</f>
        <v>30</v>
      </c>
      <c r="AK7" s="3">
        <v>114.2</v>
      </c>
      <c r="AL7" s="3"/>
      <c r="AM7" s="11">
        <f t="shared" si="8"/>
        <v>9.8900101112182892E-2</v>
      </c>
      <c r="AN7" s="12">
        <f t="shared" si="9"/>
        <v>5.7099999999999991E-2</v>
      </c>
      <c r="AQ7">
        <f t="shared" ref="AQ7:AQ29" si="25">AQ6+15</f>
        <v>30</v>
      </c>
      <c r="AS7" s="9">
        <v>46.3</v>
      </c>
      <c r="AT7" s="9"/>
      <c r="AU7" s="11">
        <f t="shared" si="10"/>
        <v>4.0096976195219507E-2</v>
      </c>
      <c r="AV7" s="12">
        <f t="shared" si="11"/>
        <v>2.3149999999999993E-2</v>
      </c>
      <c r="AY7">
        <f t="shared" ref="AY7:AY29" si="26">AY6+15</f>
        <v>30</v>
      </c>
      <c r="BA7" s="9">
        <v>80.150000000000006</v>
      </c>
      <c r="BB7" s="9"/>
      <c r="BC7" s="11">
        <f t="shared" si="12"/>
        <v>6.9411936113322761E-2</v>
      </c>
      <c r="BD7" s="12">
        <f t="shared" si="13"/>
        <v>4.0074999999999993E-2</v>
      </c>
      <c r="BG7">
        <f t="shared" ref="BG7:BG29" si="27">BG6+15</f>
        <v>30</v>
      </c>
      <c r="BI7" s="3">
        <v>119.2</v>
      </c>
      <c r="BJ7" s="3"/>
      <c r="BK7" s="11">
        <f t="shared" si="14"/>
        <v>0.10323022813110509</v>
      </c>
      <c r="BL7" s="12">
        <f t="shared" si="15"/>
        <v>5.9599999999999993E-2</v>
      </c>
      <c r="BO7">
        <f t="shared" ref="BO7:BO29" si="28">BO6+15</f>
        <v>30</v>
      </c>
      <c r="BQ7" s="9">
        <v>94.66</v>
      </c>
      <c r="BR7" s="9"/>
      <c r="BS7" s="11">
        <f t="shared" si="16"/>
        <v>8.1977964722234967E-2</v>
      </c>
      <c r="BT7" s="12">
        <f t="shared" si="17"/>
        <v>4.732999999999999E-2</v>
      </c>
      <c r="BW7">
        <f t="shared" ref="BW7:BW29" si="29">BW6+15</f>
        <v>30</v>
      </c>
      <c r="BY7" s="3">
        <v>107.6</v>
      </c>
      <c r="BZ7" s="3"/>
      <c r="CA7" s="11">
        <f t="shared" si="18"/>
        <v>9.31843334472056E-2</v>
      </c>
      <c r="CB7" s="12">
        <f t="shared" si="19"/>
        <v>5.3799999999999994E-2</v>
      </c>
    </row>
    <row r="8" spans="1:80" x14ac:dyDescent="0.3">
      <c r="C8">
        <f t="shared" si="20"/>
        <v>45</v>
      </c>
      <c r="E8" s="9">
        <v>77.48</v>
      </c>
      <c r="F8" s="9"/>
      <c r="G8" s="11">
        <f t="shared" si="0"/>
        <v>5.4786633406333711E-2</v>
      </c>
      <c r="H8" s="12">
        <f t="shared" si="1"/>
        <v>5.4786633406333704E-2</v>
      </c>
      <c r="K8">
        <f t="shared" si="21"/>
        <v>45</v>
      </c>
      <c r="M8" s="3">
        <v>112.8</v>
      </c>
      <c r="N8" s="3"/>
      <c r="O8" s="11">
        <f t="shared" si="2"/>
        <v>7.9761644917842558E-2</v>
      </c>
      <c r="P8" s="12">
        <f t="shared" si="3"/>
        <v>7.9761644917842558E-2</v>
      </c>
      <c r="S8">
        <f t="shared" si="22"/>
        <v>45</v>
      </c>
      <c r="U8" s="9">
        <v>80.36</v>
      </c>
      <c r="V8" s="9"/>
      <c r="W8" s="11">
        <f t="shared" si="4"/>
        <v>5.6823100936150964E-2</v>
      </c>
      <c r="X8" s="12">
        <f t="shared" si="5"/>
        <v>5.6823100936150957E-2</v>
      </c>
      <c r="AA8">
        <f t="shared" si="23"/>
        <v>45</v>
      </c>
      <c r="AC8" s="9">
        <v>45.53</v>
      </c>
      <c r="AD8" s="9"/>
      <c r="AE8" s="11">
        <f t="shared" si="6"/>
        <v>3.219457174742351E-2</v>
      </c>
      <c r="AF8" s="12">
        <f t="shared" si="7"/>
        <v>3.2194571747423503E-2</v>
      </c>
      <c r="AI8">
        <f t="shared" si="24"/>
        <v>45</v>
      </c>
      <c r="AK8" s="9">
        <v>74.34</v>
      </c>
      <c r="AL8" s="9"/>
      <c r="AM8" s="11">
        <f t="shared" si="8"/>
        <v>5.256631811340795E-2</v>
      </c>
      <c r="AN8" s="12">
        <f t="shared" si="9"/>
        <v>5.2566318113407944E-2</v>
      </c>
      <c r="AQ8">
        <f t="shared" si="25"/>
        <v>45</v>
      </c>
      <c r="AS8" s="9">
        <v>40.43</v>
      </c>
      <c r="AT8" s="9"/>
      <c r="AU8" s="11">
        <f t="shared" si="10"/>
        <v>2.8588327163372118E-2</v>
      </c>
      <c r="AV8" s="12">
        <f t="shared" si="11"/>
        <v>2.8588327163372115E-2</v>
      </c>
      <c r="AY8">
        <f t="shared" si="26"/>
        <v>45</v>
      </c>
      <c r="BA8" s="9">
        <v>79.599999999999994</v>
      </c>
      <c r="BB8" s="9"/>
      <c r="BC8" s="11">
        <f t="shared" si="12"/>
        <v>5.6285699782449176E-2</v>
      </c>
      <c r="BD8" s="12">
        <f t="shared" si="13"/>
        <v>5.6285699782449169E-2</v>
      </c>
      <c r="BG8">
        <f t="shared" si="27"/>
        <v>45</v>
      </c>
      <c r="BI8" s="3">
        <v>111.3</v>
      </c>
      <c r="BJ8" s="3"/>
      <c r="BK8" s="11">
        <f t="shared" si="14"/>
        <v>7.8700984746062741E-2</v>
      </c>
      <c r="BL8" s="12">
        <f t="shared" si="15"/>
        <v>7.8700984746062727E-2</v>
      </c>
      <c r="BO8">
        <f t="shared" si="28"/>
        <v>45</v>
      </c>
      <c r="BQ8" s="9">
        <v>50.48</v>
      </c>
      <c r="BR8" s="9"/>
      <c r="BS8" s="11">
        <f t="shared" si="16"/>
        <v>3.5694750314296919E-2</v>
      </c>
      <c r="BT8" s="12">
        <f t="shared" si="17"/>
        <v>3.5694750314296912E-2</v>
      </c>
      <c r="BW8">
        <f t="shared" si="29"/>
        <v>45</v>
      </c>
      <c r="BY8" s="10">
        <v>61.41</v>
      </c>
      <c r="BZ8" s="10"/>
      <c r="CA8" s="11">
        <f t="shared" si="18"/>
        <v>4.3423427432665883E-2</v>
      </c>
      <c r="CB8" s="12">
        <f t="shared" si="19"/>
        <v>4.3423427432665876E-2</v>
      </c>
    </row>
    <row r="9" spans="1:80" x14ac:dyDescent="0.3">
      <c r="C9">
        <f t="shared" si="20"/>
        <v>60</v>
      </c>
      <c r="E9" s="9">
        <v>38.090000000000003</v>
      </c>
      <c r="F9" s="9"/>
      <c r="G9" s="11">
        <f t="shared" si="0"/>
        <v>1.9045000000000006E-2</v>
      </c>
      <c r="H9" s="12">
        <f t="shared" si="1"/>
        <v>3.2986907630149269E-2</v>
      </c>
      <c r="K9">
        <f t="shared" si="21"/>
        <v>60</v>
      </c>
      <c r="M9" s="9">
        <v>87.72</v>
      </c>
      <c r="N9" s="9"/>
      <c r="O9" s="11">
        <f t="shared" si="2"/>
        <v>4.3860000000000003E-2</v>
      </c>
      <c r="P9" s="12">
        <f t="shared" si="3"/>
        <v>7.5967748419970949E-2</v>
      </c>
      <c r="S9">
        <f t="shared" si="22"/>
        <v>60</v>
      </c>
      <c r="U9" s="9">
        <v>79.260000000000005</v>
      </c>
      <c r="V9" s="9"/>
      <c r="W9" s="11">
        <f t="shared" si="4"/>
        <v>3.9630000000000012E-2</v>
      </c>
      <c r="X9" s="12">
        <f t="shared" si="5"/>
        <v>6.8641173503954614E-2</v>
      </c>
      <c r="AA9">
        <f t="shared" si="23"/>
        <v>60</v>
      </c>
      <c r="AC9" s="9">
        <v>40.799999999999997</v>
      </c>
      <c r="AD9" s="9"/>
      <c r="AE9" s="11">
        <f t="shared" si="6"/>
        <v>2.0400000000000001E-2</v>
      </c>
      <c r="AF9" s="12">
        <f t="shared" si="7"/>
        <v>3.5333836474405092E-2</v>
      </c>
      <c r="AI9">
        <f t="shared" si="24"/>
        <v>60</v>
      </c>
      <c r="AK9" s="9">
        <v>36.65</v>
      </c>
      <c r="AL9" s="9"/>
      <c r="AM9" s="11">
        <f t="shared" si="8"/>
        <v>1.8325000000000004E-2</v>
      </c>
      <c r="AN9" s="12">
        <f t="shared" si="9"/>
        <v>3.1739831048699679E-2</v>
      </c>
      <c r="AQ9">
        <f t="shared" si="25"/>
        <v>60</v>
      </c>
      <c r="AS9" s="9">
        <v>40.51</v>
      </c>
      <c r="AT9" s="9"/>
      <c r="AU9" s="11">
        <f t="shared" si="10"/>
        <v>2.0255000000000002E-2</v>
      </c>
      <c r="AV9" s="12">
        <f t="shared" si="11"/>
        <v>3.5082689107307607E-2</v>
      </c>
      <c r="AY9">
        <f t="shared" si="26"/>
        <v>60</v>
      </c>
      <c r="BA9" s="9">
        <v>78.739999999999995</v>
      </c>
      <c r="BB9" s="9"/>
      <c r="BC9" s="11">
        <f t="shared" si="12"/>
        <v>3.9370000000000002E-2</v>
      </c>
      <c r="BD9" s="12">
        <f t="shared" si="13"/>
        <v>6.8190840293986685E-2</v>
      </c>
      <c r="BG9">
        <f t="shared" si="27"/>
        <v>60</v>
      </c>
      <c r="BI9" s="9">
        <v>80.61</v>
      </c>
      <c r="BJ9" s="9"/>
      <c r="BK9" s="11">
        <f t="shared" si="14"/>
        <v>4.0305000000000007E-2</v>
      </c>
      <c r="BL9" s="12">
        <f t="shared" si="15"/>
        <v>6.9810307799063595E-2</v>
      </c>
      <c r="BO9">
        <f t="shared" si="28"/>
        <v>60</v>
      </c>
      <c r="BQ9" s="9">
        <v>12.11</v>
      </c>
      <c r="BR9" s="9"/>
      <c r="BS9" s="11">
        <f t="shared" si="16"/>
        <v>6.0550000000000014E-3</v>
      </c>
      <c r="BT9" s="12">
        <f t="shared" si="17"/>
        <v>1.048756763982955E-2</v>
      </c>
      <c r="BW9">
        <f t="shared" si="29"/>
        <v>60</v>
      </c>
      <c r="BY9" s="10">
        <v>24.21</v>
      </c>
      <c r="BZ9" s="10"/>
      <c r="CA9" s="11">
        <f t="shared" si="18"/>
        <v>1.2105000000000005E-2</v>
      </c>
      <c r="CB9" s="12">
        <f t="shared" si="19"/>
        <v>2.096647502562126E-2</v>
      </c>
    </row>
    <row r="10" spans="1:80" x14ac:dyDescent="0.3">
      <c r="C10">
        <f t="shared" si="20"/>
        <v>75</v>
      </c>
      <c r="E10" s="8">
        <v>2.17</v>
      </c>
      <c r="F10" s="8"/>
      <c r="G10" s="11">
        <f>E10/1000*COS(RADIANS(C10))</f>
        <v>5.6163732787246998E-4</v>
      </c>
      <c r="H10" s="12">
        <f>E10/1000*SIN(RADIANS(C10))</f>
        <v>2.0960590430472784E-3</v>
      </c>
      <c r="K10">
        <f t="shared" si="21"/>
        <v>75</v>
      </c>
      <c r="M10" s="9">
        <v>75.03</v>
      </c>
      <c r="N10" s="9"/>
      <c r="O10" s="11">
        <f t="shared" si="2"/>
        <v>1.9419192954042132E-2</v>
      </c>
      <c r="P10" s="12">
        <f t="shared" si="3"/>
        <v>7.2473414746468789E-2</v>
      </c>
      <c r="S10">
        <f t="shared" si="22"/>
        <v>75</v>
      </c>
      <c r="U10" s="9">
        <v>78.45</v>
      </c>
      <c r="V10" s="9"/>
      <c r="W10" s="11">
        <f t="shared" si="4"/>
        <v>2.0304354088292755E-2</v>
      </c>
      <c r="X10" s="12">
        <f t="shared" si="5"/>
        <v>7.5776881072377414E-2</v>
      </c>
      <c r="AA10">
        <f t="shared" si="23"/>
        <v>75</v>
      </c>
      <c r="AC10" s="9">
        <v>42.23</v>
      </c>
      <c r="AD10" s="9"/>
      <c r="AE10" s="11">
        <f t="shared" si="6"/>
        <v>1.092992827467945E-2</v>
      </c>
      <c r="AF10" s="12">
        <f t="shared" si="7"/>
        <v>4.0791047644187353E-2</v>
      </c>
      <c r="AI10">
        <f t="shared" si="24"/>
        <v>75</v>
      </c>
      <c r="AK10" s="8">
        <v>2.157</v>
      </c>
      <c r="AL10" s="8"/>
      <c r="AM10" s="11">
        <f t="shared" si="8"/>
        <v>5.5827268028613727E-4</v>
      </c>
      <c r="AN10" s="12">
        <f t="shared" si="9"/>
        <v>2.0835020073055204E-3</v>
      </c>
      <c r="AQ10">
        <f t="shared" si="25"/>
        <v>75</v>
      </c>
      <c r="AS10" s="9">
        <v>44.57</v>
      </c>
      <c r="AT10" s="9"/>
      <c r="AU10" s="11">
        <f t="shared" si="10"/>
        <v>1.1535564840219349E-2</v>
      </c>
      <c r="AV10" s="12">
        <f t="shared" si="11"/>
        <v>4.3051314077703774E-2</v>
      </c>
      <c r="AY10">
        <f t="shared" si="26"/>
        <v>75</v>
      </c>
      <c r="BA10" s="9">
        <v>77</v>
      </c>
      <c r="BB10" s="9"/>
      <c r="BC10" s="11">
        <f t="shared" si="12"/>
        <v>1.9929066472894098E-2</v>
      </c>
      <c r="BD10" s="12">
        <f t="shared" si="13"/>
        <v>7.4376288624258255E-2</v>
      </c>
      <c r="BG10">
        <f t="shared" si="27"/>
        <v>75</v>
      </c>
      <c r="BI10" s="9">
        <v>63.45</v>
      </c>
      <c r="BJ10" s="9"/>
      <c r="BK10" s="11">
        <f t="shared" si="14"/>
        <v>1.6422068411754944E-2</v>
      </c>
      <c r="BL10" s="12">
        <f t="shared" si="15"/>
        <v>6.1287993678041393E-2</v>
      </c>
      <c r="BO10">
        <f t="shared" si="28"/>
        <v>75</v>
      </c>
      <c r="BQ10" s="8">
        <v>3.2000000000000001E-2</v>
      </c>
      <c r="BR10" s="8"/>
      <c r="BS10" s="11">
        <f t="shared" si="16"/>
        <v>8.2822094432806641E-6</v>
      </c>
      <c r="BT10" s="12">
        <f t="shared" si="17"/>
        <v>3.0909626441250183E-5</v>
      </c>
      <c r="BW10">
        <f t="shared" si="29"/>
        <v>75</v>
      </c>
      <c r="BY10" s="8">
        <v>0.33300000000000002</v>
      </c>
      <c r="BZ10" s="8"/>
      <c r="CA10" s="11">
        <f t="shared" si="18"/>
        <v>8.6186742019139415E-5</v>
      </c>
      <c r="CB10" s="12">
        <f t="shared" si="19"/>
        <v>3.2165330015425977E-4</v>
      </c>
    </row>
    <row r="11" spans="1:80" x14ac:dyDescent="0.3">
      <c r="C11">
        <f t="shared" si="20"/>
        <v>90</v>
      </c>
      <c r="E11" s="8">
        <v>0.378</v>
      </c>
      <c r="F11" s="8"/>
      <c r="G11" s="11">
        <f>E11/1000*COS(RADIANS(C11))</f>
        <v>2.3155305797772919E-20</v>
      </c>
      <c r="H11" s="12">
        <f>E11/1000*SIN(RADIANS(C11))</f>
        <v>3.7800000000000003E-4</v>
      </c>
      <c r="K11">
        <f t="shared" si="21"/>
        <v>90</v>
      </c>
      <c r="M11" s="9">
        <v>41.63</v>
      </c>
      <c r="N11" s="9"/>
      <c r="O11" s="11">
        <f t="shared" si="2"/>
        <v>2.5501465088922925E-18</v>
      </c>
      <c r="P11" s="12">
        <f t="shared" si="3"/>
        <v>4.163E-2</v>
      </c>
      <c r="S11">
        <f t="shared" si="22"/>
        <v>90</v>
      </c>
      <c r="U11" s="9">
        <v>75.650000000000006</v>
      </c>
      <c r="V11" s="9"/>
      <c r="W11" s="11">
        <f t="shared" si="4"/>
        <v>4.6341240306918558E-18</v>
      </c>
      <c r="X11" s="12">
        <f t="shared" si="5"/>
        <v>7.5650000000000009E-2</v>
      </c>
      <c r="AA11">
        <f t="shared" si="23"/>
        <v>90</v>
      </c>
      <c r="AC11" s="9">
        <v>59.11</v>
      </c>
      <c r="AD11" s="9"/>
      <c r="AE11" s="11">
        <f t="shared" si="6"/>
        <v>3.6209262584824268E-18</v>
      </c>
      <c r="AF11" s="12">
        <f t="shared" si="7"/>
        <v>5.9110000000000003E-2</v>
      </c>
      <c r="AI11">
        <f t="shared" si="24"/>
        <v>90</v>
      </c>
      <c r="AK11" s="8">
        <v>0.33300000000000002</v>
      </c>
      <c r="AL11" s="8"/>
      <c r="AM11" s="11">
        <f t="shared" si="8"/>
        <v>2.0398721774228524E-20</v>
      </c>
      <c r="AN11" s="12">
        <f t="shared" si="9"/>
        <v>3.3300000000000002E-4</v>
      </c>
      <c r="AQ11">
        <f t="shared" si="25"/>
        <v>90</v>
      </c>
      <c r="AS11" s="9">
        <v>69.52</v>
      </c>
      <c r="AT11" s="9"/>
      <c r="AU11" s="11">
        <f t="shared" si="10"/>
        <v>4.2586160292623628E-18</v>
      </c>
      <c r="AV11" s="12">
        <f t="shared" si="11"/>
        <v>6.9519999999999998E-2</v>
      </c>
      <c r="AY11">
        <f t="shared" si="26"/>
        <v>90</v>
      </c>
      <c r="BA11" s="9">
        <v>73.95</v>
      </c>
      <c r="BB11" s="9"/>
      <c r="BC11" s="11">
        <f t="shared" si="12"/>
        <v>4.5299864120246227E-18</v>
      </c>
      <c r="BD11" s="12">
        <f t="shared" si="13"/>
        <v>7.3950000000000002E-2</v>
      </c>
      <c r="BG11">
        <f t="shared" si="27"/>
        <v>90</v>
      </c>
      <c r="BI11" s="9">
        <v>40.36</v>
      </c>
      <c r="BJ11" s="9"/>
      <c r="BK11" s="11">
        <f t="shared" si="14"/>
        <v>2.4723495820055952E-18</v>
      </c>
      <c r="BL11" s="12">
        <f t="shared" si="15"/>
        <v>4.036E-2</v>
      </c>
      <c r="BO11">
        <f t="shared" si="28"/>
        <v>90</v>
      </c>
      <c r="BQ11" s="8">
        <v>7.6999999999999999E-2</v>
      </c>
      <c r="BR11" s="8">
        <f>0.096-0.032</f>
        <v>6.4000000000000001E-2</v>
      </c>
      <c r="BS11" s="11">
        <f t="shared" si="16"/>
        <v>4.7168215513981873E-21</v>
      </c>
      <c r="BT11" s="12">
        <f t="shared" si="17"/>
        <v>7.7000000000000001E-5</v>
      </c>
      <c r="BW11">
        <f t="shared" si="29"/>
        <v>90</v>
      </c>
      <c r="BY11" s="8">
        <v>0.09</v>
      </c>
      <c r="BZ11" s="8"/>
      <c r="CA11" s="11">
        <f t="shared" si="18"/>
        <v>5.5131680470887892E-21</v>
      </c>
      <c r="CB11" s="12">
        <f t="shared" si="19"/>
        <v>8.9999999999999992E-5</v>
      </c>
    </row>
    <row r="12" spans="1:80" x14ac:dyDescent="0.3">
      <c r="B12" t="s">
        <v>18</v>
      </c>
      <c r="C12">
        <f t="shared" si="20"/>
        <v>105</v>
      </c>
      <c r="E12" s="9">
        <v>11.19</v>
      </c>
      <c r="F12" s="9"/>
      <c r="G12" s="11">
        <f t="shared" si="0"/>
        <v>-2.8961851146972082E-3</v>
      </c>
      <c r="H12" s="12">
        <f t="shared" si="1"/>
        <v>1.0808709996174675E-2</v>
      </c>
      <c r="K12">
        <f t="shared" si="21"/>
        <v>105</v>
      </c>
      <c r="M12" s="9">
        <v>38.090000000000003</v>
      </c>
      <c r="N12" s="9"/>
      <c r="O12" s="11">
        <f t="shared" si="2"/>
        <v>-9.8584174279550199E-3</v>
      </c>
      <c r="P12" s="12">
        <f t="shared" si="3"/>
        <v>3.6792114723350616E-2</v>
      </c>
      <c r="S12">
        <f t="shared" si="22"/>
        <v>105</v>
      </c>
      <c r="U12" s="9">
        <v>71.12</v>
      </c>
      <c r="V12" s="9"/>
      <c r="W12" s="11">
        <f t="shared" si="4"/>
        <v>-1.8407210487691283E-2</v>
      </c>
      <c r="X12" s="12">
        <f t="shared" si="5"/>
        <v>6.8696644765678536E-2</v>
      </c>
      <c r="AA12">
        <f t="shared" si="23"/>
        <v>105</v>
      </c>
      <c r="AC12" s="9">
        <v>77.150000000000006</v>
      </c>
      <c r="AD12" s="9"/>
      <c r="AE12" s="11">
        <f t="shared" si="6"/>
        <v>-1.9967889329659486E-2</v>
      </c>
      <c r="AF12" s="12">
        <f t="shared" si="7"/>
        <v>7.4521177498201627E-2</v>
      </c>
      <c r="AI12">
        <f t="shared" si="24"/>
        <v>105</v>
      </c>
      <c r="AK12" s="8">
        <v>7.375</v>
      </c>
      <c r="AL12" s="8"/>
      <c r="AM12" s="11">
        <f t="shared" si="8"/>
        <v>-1.9087904576310913E-3</v>
      </c>
      <c r="AN12" s="12">
        <f t="shared" si="9"/>
        <v>7.1237029688818784E-3</v>
      </c>
      <c r="AQ12">
        <f t="shared" si="25"/>
        <v>105</v>
      </c>
      <c r="AS12" s="9">
        <v>80.430000000000007</v>
      </c>
      <c r="AT12" s="9"/>
      <c r="AU12" s="11">
        <f t="shared" si="10"/>
        <v>-2.0816815797595752E-2</v>
      </c>
      <c r="AV12" s="12">
        <f t="shared" si="11"/>
        <v>7.7689414208429772E-2</v>
      </c>
      <c r="AY12">
        <f t="shared" si="26"/>
        <v>105</v>
      </c>
      <c r="BA12" s="9">
        <v>71.739999999999995</v>
      </c>
      <c r="BB12" s="9"/>
      <c r="BC12" s="11">
        <f t="shared" si="12"/>
        <v>-1.8567678295654845E-2</v>
      </c>
      <c r="BD12" s="12">
        <f t="shared" si="13"/>
        <v>6.9295518777977766E-2</v>
      </c>
      <c r="BG12">
        <f t="shared" si="27"/>
        <v>105</v>
      </c>
      <c r="BI12" s="9">
        <v>35.51</v>
      </c>
      <c r="BJ12" s="9"/>
      <c r="BK12" s="11">
        <f t="shared" si="14"/>
        <v>-9.1906642915905151E-3</v>
      </c>
      <c r="BL12" s="12">
        <f t="shared" si="15"/>
        <v>3.4300026091524813E-2</v>
      </c>
      <c r="BO12">
        <f t="shared" si="28"/>
        <v>105</v>
      </c>
      <c r="BQ12" s="9">
        <v>14.71</v>
      </c>
      <c r="BR12" s="9"/>
      <c r="BS12" s="11">
        <f t="shared" si="16"/>
        <v>-3.8072281534580819E-3</v>
      </c>
      <c r="BT12" s="12">
        <f t="shared" si="17"/>
        <v>1.4208768904712196E-2</v>
      </c>
      <c r="BW12">
        <f t="shared" si="29"/>
        <v>105</v>
      </c>
      <c r="BY12" s="8">
        <v>8.6020000000000003</v>
      </c>
      <c r="BZ12" s="8"/>
      <c r="CA12" s="11">
        <f t="shared" si="18"/>
        <v>-2.2263614259718846E-3</v>
      </c>
      <c r="CB12" s="12">
        <f t="shared" si="19"/>
        <v>8.308893957738565E-3</v>
      </c>
    </row>
    <row r="13" spans="1:80" x14ac:dyDescent="0.3">
      <c r="B13" t="s">
        <v>7</v>
      </c>
      <c r="C13">
        <f t="shared" si="20"/>
        <v>120</v>
      </c>
      <c r="E13" s="9">
        <v>41.47</v>
      </c>
      <c r="F13" s="9"/>
      <c r="G13" s="11">
        <f t="shared" si="0"/>
        <v>-2.073499999999999E-2</v>
      </c>
      <c r="H13" s="12">
        <f t="shared" si="1"/>
        <v>3.5914073494940676E-2</v>
      </c>
      <c r="K13">
        <f t="shared" si="21"/>
        <v>120</v>
      </c>
      <c r="M13" s="9">
        <v>37.21</v>
      </c>
      <c r="N13" s="9"/>
      <c r="O13" s="11">
        <f t="shared" si="2"/>
        <v>-1.8604999999999993E-2</v>
      </c>
      <c r="P13" s="12">
        <f t="shared" si="3"/>
        <v>3.2224805274818961E-2</v>
      </c>
      <c r="S13">
        <f t="shared" si="22"/>
        <v>120</v>
      </c>
      <c r="U13" s="9">
        <v>69.34</v>
      </c>
      <c r="V13" s="9"/>
      <c r="W13" s="11">
        <f t="shared" si="4"/>
        <v>-3.4669999999999986E-2</v>
      </c>
      <c r="X13" s="12">
        <f t="shared" si="5"/>
        <v>6.0050201498412982E-2</v>
      </c>
      <c r="AA13">
        <f t="shared" si="23"/>
        <v>120</v>
      </c>
      <c r="AC13" s="9">
        <v>82.82</v>
      </c>
      <c r="AD13" s="9"/>
      <c r="AE13" s="11">
        <f t="shared" si="6"/>
        <v>-4.1409999999999975E-2</v>
      </c>
      <c r="AF13" s="12">
        <f t="shared" si="7"/>
        <v>7.1724223941427204E-2</v>
      </c>
      <c r="AI13">
        <f t="shared" si="24"/>
        <v>120</v>
      </c>
      <c r="AK13" s="9">
        <v>40.299999999999997</v>
      </c>
      <c r="AL13" s="9"/>
      <c r="AM13" s="11">
        <f t="shared" si="8"/>
        <v>-2.0149999999999987E-2</v>
      </c>
      <c r="AN13" s="12">
        <f t="shared" si="9"/>
        <v>3.4900823772512878E-2</v>
      </c>
      <c r="AQ13">
        <f t="shared" si="25"/>
        <v>120</v>
      </c>
      <c r="AS13" s="9">
        <v>92.77</v>
      </c>
      <c r="AT13" s="9"/>
      <c r="AU13" s="11">
        <f t="shared" si="10"/>
        <v>-4.6384999999999975E-2</v>
      </c>
      <c r="AV13" s="12">
        <f t="shared" si="11"/>
        <v>8.0341176709082376E-2</v>
      </c>
      <c r="AY13">
        <f t="shared" si="26"/>
        <v>120</v>
      </c>
      <c r="BA13" s="9">
        <v>71.459999999999994</v>
      </c>
      <c r="BB13" s="9">
        <f>73.76-71.28</f>
        <v>2.480000000000004</v>
      </c>
      <c r="BC13" s="11">
        <f t="shared" si="12"/>
        <v>-3.5729999999999984E-2</v>
      </c>
      <c r="BD13" s="12">
        <f t="shared" si="13"/>
        <v>6.1886175354435989E-2</v>
      </c>
      <c r="BG13">
        <f t="shared" si="27"/>
        <v>120</v>
      </c>
      <c r="BI13" s="9">
        <v>36.979999999999997</v>
      </c>
      <c r="BJ13" s="9"/>
      <c r="BK13" s="11">
        <f t="shared" si="14"/>
        <v>-1.8489999999999993E-2</v>
      </c>
      <c r="BL13" s="12">
        <f t="shared" si="15"/>
        <v>3.2025619431948545E-2</v>
      </c>
      <c r="BO13">
        <f t="shared" si="28"/>
        <v>120</v>
      </c>
      <c r="BQ13" s="9">
        <v>50.17</v>
      </c>
      <c r="BR13" s="9"/>
      <c r="BS13" s="11">
        <f t="shared" si="16"/>
        <v>-2.5084999999999989E-2</v>
      </c>
      <c r="BT13" s="12">
        <f t="shared" si="17"/>
        <v>4.3448494507865289E-2</v>
      </c>
      <c r="BW13">
        <f t="shared" si="29"/>
        <v>120</v>
      </c>
      <c r="BY13" s="10">
        <v>41.73</v>
      </c>
      <c r="BZ13" s="10"/>
      <c r="CA13" s="11">
        <f t="shared" si="18"/>
        <v>-2.0864999999999988E-2</v>
      </c>
      <c r="CB13" s="12">
        <f t="shared" si="19"/>
        <v>3.6139240099924627E-2</v>
      </c>
    </row>
    <row r="14" spans="1:80" x14ac:dyDescent="0.3">
      <c r="B14" t="s">
        <v>19</v>
      </c>
      <c r="C14">
        <f t="shared" si="20"/>
        <v>135</v>
      </c>
      <c r="E14" s="9">
        <v>81.08</v>
      </c>
      <c r="F14" s="9"/>
      <c r="G14" s="11">
        <f t="shared" si="0"/>
        <v>-5.7332217818605265E-2</v>
      </c>
      <c r="H14" s="12">
        <f t="shared" si="1"/>
        <v>5.7332217818605279E-2</v>
      </c>
      <c r="K14">
        <f t="shared" si="21"/>
        <v>135</v>
      </c>
      <c r="M14" s="9">
        <v>41.11</v>
      </c>
      <c r="N14" s="9"/>
      <c r="O14" s="11">
        <f t="shared" si="2"/>
        <v>-2.9069159774578968E-2</v>
      </c>
      <c r="P14" s="12">
        <f t="shared" si="3"/>
        <v>2.9069159774578971E-2</v>
      </c>
      <c r="S14">
        <f t="shared" si="22"/>
        <v>135</v>
      </c>
      <c r="U14" s="9">
        <v>74.02</v>
      </c>
      <c r="V14" s="9"/>
      <c r="W14" s="11">
        <f t="shared" si="4"/>
        <v>-5.2340043943428248E-2</v>
      </c>
      <c r="X14" s="12">
        <f t="shared" si="5"/>
        <v>5.2340043943428255E-2</v>
      </c>
      <c r="AA14">
        <f t="shared" si="23"/>
        <v>135</v>
      </c>
      <c r="AC14" s="3">
        <v>103.7</v>
      </c>
      <c r="AD14" s="3"/>
      <c r="AE14" s="11">
        <f t="shared" si="6"/>
        <v>-7.3326973209044966E-2</v>
      </c>
      <c r="AF14" s="12">
        <f t="shared" si="7"/>
        <v>7.3326973209044979E-2</v>
      </c>
      <c r="AI14">
        <f t="shared" si="24"/>
        <v>135</v>
      </c>
      <c r="AK14" s="9">
        <v>80.180000000000007</v>
      </c>
      <c r="AL14" s="9"/>
      <c r="AM14" s="11">
        <f t="shared" si="8"/>
        <v>-5.669582171553738E-2</v>
      </c>
      <c r="AN14" s="12">
        <f t="shared" si="9"/>
        <v>5.6695821715537387E-2</v>
      </c>
      <c r="AQ14">
        <f t="shared" si="25"/>
        <v>135</v>
      </c>
      <c r="AS14" s="3">
        <v>111.4</v>
      </c>
      <c r="AT14" s="3"/>
      <c r="AU14" s="11">
        <f t="shared" si="10"/>
        <v>-7.8771695424181387E-2</v>
      </c>
      <c r="AV14" s="12">
        <f t="shared" si="11"/>
        <v>7.8771695424181401E-2</v>
      </c>
      <c r="AY14">
        <f t="shared" si="26"/>
        <v>135</v>
      </c>
      <c r="BA14" s="9">
        <v>74.25</v>
      </c>
      <c r="BB14" s="9"/>
      <c r="BC14" s="11">
        <f t="shared" si="12"/>
        <v>-5.2502678503101148E-2</v>
      </c>
      <c r="BD14" s="12">
        <f t="shared" si="13"/>
        <v>5.2502678503101155E-2</v>
      </c>
      <c r="BG14">
        <f t="shared" si="27"/>
        <v>135</v>
      </c>
      <c r="BI14" s="9">
        <v>40.96</v>
      </c>
      <c r="BJ14" s="9"/>
      <c r="BK14" s="11">
        <f t="shared" si="14"/>
        <v>-2.8963093757400988E-2</v>
      </c>
      <c r="BL14" s="12">
        <f t="shared" si="15"/>
        <v>2.8963093757400991E-2</v>
      </c>
      <c r="BO14">
        <f t="shared" si="28"/>
        <v>135</v>
      </c>
      <c r="BQ14" s="9">
        <v>90.4</v>
      </c>
      <c r="BR14" s="9"/>
      <c r="BS14" s="11">
        <f t="shared" si="16"/>
        <v>-6.39224530192639E-2</v>
      </c>
      <c r="BT14" s="12">
        <f t="shared" si="17"/>
        <v>6.39224530192639E-2</v>
      </c>
      <c r="BW14">
        <f t="shared" si="29"/>
        <v>135</v>
      </c>
      <c r="BY14" s="10">
        <v>84.63</v>
      </c>
      <c r="BZ14" s="10"/>
      <c r="CA14" s="11">
        <f t="shared" si="18"/>
        <v>-5.9842446891817509E-2</v>
      </c>
      <c r="CB14" s="12">
        <f t="shared" si="19"/>
        <v>5.9842446891817516E-2</v>
      </c>
    </row>
    <row r="15" spans="1:80" x14ac:dyDescent="0.3">
      <c r="B15" t="s">
        <v>8</v>
      </c>
      <c r="C15">
        <f t="shared" si="20"/>
        <v>150</v>
      </c>
      <c r="E15" s="3">
        <v>121</v>
      </c>
      <c r="F15" s="3"/>
      <c r="G15" s="11">
        <f t="shared" si="0"/>
        <v>-0.10478907385791708</v>
      </c>
      <c r="H15" s="12">
        <f t="shared" si="1"/>
        <v>6.0499999999999991E-2</v>
      </c>
      <c r="K15">
        <f t="shared" si="21"/>
        <v>150</v>
      </c>
      <c r="M15" s="9">
        <v>69.13</v>
      </c>
      <c r="N15" s="9"/>
      <c r="O15" s="11">
        <f t="shared" si="2"/>
        <v>-5.9868336163618245E-2</v>
      </c>
      <c r="P15" s="12">
        <f t="shared" si="3"/>
        <v>3.4564999999999992E-2</v>
      </c>
      <c r="S15">
        <f t="shared" si="22"/>
        <v>150</v>
      </c>
      <c r="U15" s="9">
        <v>78.48</v>
      </c>
      <c r="V15" s="9"/>
      <c r="W15" s="11">
        <f t="shared" si="4"/>
        <v>-6.7965673689002762E-2</v>
      </c>
      <c r="X15" s="12">
        <f t="shared" si="5"/>
        <v>3.9239999999999997E-2</v>
      </c>
      <c r="AA15">
        <f t="shared" si="23"/>
        <v>150</v>
      </c>
      <c r="AC15" s="3">
        <v>112.6</v>
      </c>
      <c r="AD15" s="3"/>
      <c r="AE15" s="11">
        <f t="shared" si="6"/>
        <v>-9.7514460466127786E-2</v>
      </c>
      <c r="AF15" s="12">
        <f t="shared" si="7"/>
        <v>5.6299999999999989E-2</v>
      </c>
      <c r="AI15">
        <f t="shared" si="24"/>
        <v>150</v>
      </c>
      <c r="AK15" s="3">
        <v>119.4</v>
      </c>
      <c r="AL15" s="3"/>
      <c r="AM15" s="11">
        <f t="shared" si="8"/>
        <v>-0.10340343321186199</v>
      </c>
      <c r="AN15" s="12">
        <f t="shared" si="9"/>
        <v>5.9699999999999996E-2</v>
      </c>
      <c r="AQ15">
        <f t="shared" si="25"/>
        <v>150</v>
      </c>
      <c r="AS15" s="3">
        <v>105.3</v>
      </c>
      <c r="AT15" s="3"/>
      <c r="AU15" s="11">
        <f t="shared" si="10"/>
        <v>-9.119247501850139E-2</v>
      </c>
      <c r="AV15" s="12">
        <f t="shared" si="11"/>
        <v>5.2649999999999988E-2</v>
      </c>
      <c r="AY15">
        <f t="shared" si="26"/>
        <v>150</v>
      </c>
      <c r="BA15" s="9">
        <v>76.900000000000006</v>
      </c>
      <c r="BB15" s="9"/>
      <c r="BC15" s="11">
        <f t="shared" si="12"/>
        <v>-6.659735355102335E-2</v>
      </c>
      <c r="BD15" s="12">
        <f t="shared" si="13"/>
        <v>3.8449999999999998E-2</v>
      </c>
      <c r="BG15">
        <f t="shared" si="27"/>
        <v>150</v>
      </c>
      <c r="BI15" s="9">
        <v>68.22</v>
      </c>
      <c r="BJ15" s="9"/>
      <c r="BK15" s="11">
        <f t="shared" si="14"/>
        <v>-5.9080253046174411E-2</v>
      </c>
      <c r="BL15" s="12">
        <f t="shared" si="15"/>
        <v>3.4109999999999994E-2</v>
      </c>
      <c r="BO15">
        <f t="shared" si="28"/>
        <v>150</v>
      </c>
      <c r="BQ15" s="3">
        <v>124.2</v>
      </c>
      <c r="BR15" s="3"/>
      <c r="BS15" s="11">
        <f t="shared" si="16"/>
        <v>-0.10756035515002729</v>
      </c>
      <c r="BT15" s="12">
        <f t="shared" si="17"/>
        <v>6.2099999999999995E-2</v>
      </c>
      <c r="BW15">
        <f t="shared" si="29"/>
        <v>150</v>
      </c>
      <c r="BY15" s="3">
        <v>121.4</v>
      </c>
      <c r="BZ15" s="3"/>
      <c r="CA15" s="11">
        <f t="shared" si="18"/>
        <v>-0.10513548401943086</v>
      </c>
      <c r="CB15" s="12">
        <f t="shared" si="19"/>
        <v>6.0699999999999997E-2</v>
      </c>
    </row>
    <row r="16" spans="1:80" x14ac:dyDescent="0.3">
      <c r="B16" t="s">
        <v>20</v>
      </c>
      <c r="C16">
        <f t="shared" si="20"/>
        <v>165</v>
      </c>
      <c r="E16" s="3">
        <v>154.19999999999999</v>
      </c>
      <c r="F16" s="3"/>
      <c r="G16" s="11">
        <f t="shared" si="0"/>
        <v>-0.1489457624137743</v>
      </c>
      <c r="H16" s="12">
        <f t="shared" si="1"/>
        <v>3.9909896754808737E-2</v>
      </c>
      <c r="K16">
        <f t="shared" si="21"/>
        <v>165</v>
      </c>
      <c r="M16" s="9">
        <v>82.11</v>
      </c>
      <c r="N16" s="9"/>
      <c r="O16" s="11">
        <f t="shared" si="2"/>
        <v>-7.9312169596595386E-2</v>
      </c>
      <c r="P16" s="12">
        <f t="shared" si="3"/>
        <v>2.1251631793368E-2</v>
      </c>
      <c r="S16">
        <f t="shared" si="22"/>
        <v>165</v>
      </c>
      <c r="U16" s="9">
        <v>79.989999999999995</v>
      </c>
      <c r="V16" s="9"/>
      <c r="W16" s="11">
        <f t="shared" si="4"/>
        <v>-7.7264406844862563E-2</v>
      </c>
      <c r="X16" s="12">
        <f t="shared" si="5"/>
        <v>2.0702935417750656E-2</v>
      </c>
      <c r="AA16">
        <f t="shared" si="23"/>
        <v>165</v>
      </c>
      <c r="AC16" s="3">
        <v>107.1</v>
      </c>
      <c r="AD16" s="3"/>
      <c r="AE16" s="11">
        <f t="shared" si="6"/>
        <v>-0.10345065599555921</v>
      </c>
      <c r="AF16" s="12">
        <f t="shared" si="7"/>
        <v>2.7719519730480001E-2</v>
      </c>
      <c r="AI16">
        <f t="shared" si="24"/>
        <v>165</v>
      </c>
      <c r="AK16" s="3">
        <v>145.5</v>
      </c>
      <c r="AL16" s="3"/>
      <c r="AM16" s="11">
        <f t="shared" si="8"/>
        <v>-0.1405422077250594</v>
      </c>
      <c r="AN16" s="12">
        <f t="shared" si="9"/>
        <v>3.7658171062416805E-2</v>
      </c>
      <c r="AQ16">
        <f t="shared" si="25"/>
        <v>165</v>
      </c>
      <c r="AS16" s="9">
        <v>92.5</v>
      </c>
      <c r="AT16" s="9"/>
      <c r="AU16" s="11">
        <f t="shared" si="10"/>
        <v>-8.9348138931738805E-2</v>
      </c>
      <c r="AV16" s="12">
        <f t="shared" si="11"/>
        <v>2.3940761671983193E-2</v>
      </c>
      <c r="AY16">
        <f t="shared" si="26"/>
        <v>165</v>
      </c>
      <c r="BA16" s="9">
        <v>78.89</v>
      </c>
      <c r="BB16" s="9"/>
      <c r="BC16" s="11">
        <f t="shared" si="12"/>
        <v>-7.6201888435944595E-2</v>
      </c>
      <c r="BD16" s="12">
        <f t="shared" si="13"/>
        <v>2.0418234468137883E-2</v>
      </c>
      <c r="BG16">
        <f t="shared" si="27"/>
        <v>165</v>
      </c>
      <c r="BI16" s="9">
        <v>83.33</v>
      </c>
      <c r="BJ16" s="9"/>
      <c r="BK16" s="11">
        <f t="shared" si="14"/>
        <v>-8.0490599104668048E-2</v>
      </c>
      <c r="BL16" s="12">
        <f t="shared" si="15"/>
        <v>2.1567391028393078E-2</v>
      </c>
      <c r="BO16">
        <f t="shared" si="28"/>
        <v>165</v>
      </c>
      <c r="BQ16" s="3">
        <v>155.30000000000001</v>
      </c>
      <c r="BR16" s="3"/>
      <c r="BS16" s="11">
        <f t="shared" si="16"/>
        <v>-0.15000828082269232</v>
      </c>
      <c r="BT16" s="12">
        <f t="shared" si="17"/>
        <v>4.019459770442152E-2</v>
      </c>
      <c r="BW16">
        <f t="shared" si="29"/>
        <v>165</v>
      </c>
      <c r="BY16" s="3">
        <v>153.6</v>
      </c>
      <c r="BZ16" s="3"/>
      <c r="CA16" s="11">
        <f t="shared" si="18"/>
        <v>-0.14836620691800087</v>
      </c>
      <c r="CB16" s="12">
        <f t="shared" si="19"/>
        <v>3.9754605327747224E-2</v>
      </c>
    </row>
    <row r="17" spans="2:80" x14ac:dyDescent="0.3">
      <c r="B17" t="s">
        <v>9</v>
      </c>
      <c r="C17">
        <f t="shared" si="20"/>
        <v>180</v>
      </c>
      <c r="E17" s="3">
        <v>160</v>
      </c>
      <c r="F17" s="3"/>
      <c r="G17" s="11">
        <f t="shared" si="0"/>
        <v>-0.16</v>
      </c>
      <c r="H17" s="12">
        <f t="shared" si="1"/>
        <v>1.9602375278537921E-17</v>
      </c>
      <c r="K17">
        <f t="shared" si="21"/>
        <v>180</v>
      </c>
      <c r="M17" s="3">
        <v>116.9</v>
      </c>
      <c r="N17" s="3"/>
      <c r="O17" s="11">
        <f t="shared" si="2"/>
        <v>-0.1169</v>
      </c>
      <c r="P17" s="12">
        <f t="shared" si="3"/>
        <v>1.4321985437881769E-17</v>
      </c>
      <c r="S17">
        <f t="shared" si="22"/>
        <v>180</v>
      </c>
      <c r="U17" s="9">
        <v>82.2</v>
      </c>
      <c r="V17" s="9"/>
      <c r="W17" s="11">
        <f t="shared" si="4"/>
        <v>-8.2200000000000009E-2</v>
      </c>
      <c r="X17" s="12">
        <f t="shared" si="5"/>
        <v>1.0070720299348858E-17</v>
      </c>
      <c r="AA17">
        <f t="shared" si="23"/>
        <v>180</v>
      </c>
      <c r="AC17" s="9">
        <v>86.89</v>
      </c>
      <c r="AD17" s="9"/>
      <c r="AE17" s="11">
        <f t="shared" si="6"/>
        <v>-8.6889999999999995E-2</v>
      </c>
      <c r="AF17" s="12">
        <f t="shared" si="7"/>
        <v>1.0645314924700999E-17</v>
      </c>
      <c r="AI17">
        <f t="shared" si="24"/>
        <v>180</v>
      </c>
      <c r="AK17" s="3">
        <v>153.1</v>
      </c>
      <c r="AL17" s="3"/>
      <c r="AM17" s="11">
        <f t="shared" si="8"/>
        <v>-0.15309999999999999</v>
      </c>
      <c r="AN17" s="12">
        <f t="shared" si="9"/>
        <v>1.8757022844650971E-17</v>
      </c>
      <c r="AQ17">
        <f t="shared" si="25"/>
        <v>180</v>
      </c>
      <c r="AS17" s="9">
        <v>80.08</v>
      </c>
      <c r="AT17" s="9"/>
      <c r="AU17" s="11">
        <f t="shared" si="10"/>
        <v>-8.0079999999999998E-2</v>
      </c>
      <c r="AV17" s="12">
        <f t="shared" si="11"/>
        <v>9.8109888269082284E-18</v>
      </c>
      <c r="AY17">
        <f t="shared" si="26"/>
        <v>180</v>
      </c>
      <c r="BA17" s="9">
        <v>79.790000000000006</v>
      </c>
      <c r="BB17" s="9"/>
      <c r="BC17" s="11">
        <f t="shared" si="12"/>
        <v>-7.979E-2</v>
      </c>
      <c r="BD17" s="12">
        <f t="shared" si="13"/>
        <v>9.7754595217158792E-18</v>
      </c>
      <c r="BG17">
        <f t="shared" si="27"/>
        <v>180</v>
      </c>
      <c r="BI17" s="3">
        <v>111</v>
      </c>
      <c r="BJ17" s="3"/>
      <c r="BK17" s="11">
        <f t="shared" si="14"/>
        <v>-0.111</v>
      </c>
      <c r="BL17" s="12">
        <f t="shared" si="15"/>
        <v>1.3599147849485683E-17</v>
      </c>
      <c r="BO17">
        <f t="shared" si="28"/>
        <v>180</v>
      </c>
      <c r="BQ17" s="3">
        <v>153.9</v>
      </c>
      <c r="BR17" s="3"/>
      <c r="BS17" s="11">
        <f t="shared" si="16"/>
        <v>-0.15390000000000001</v>
      </c>
      <c r="BT17" s="12">
        <f t="shared" si="17"/>
        <v>1.8855034721043663E-17</v>
      </c>
      <c r="BW17">
        <f t="shared" si="29"/>
        <v>180</v>
      </c>
      <c r="BY17" s="3">
        <v>157.1</v>
      </c>
      <c r="BZ17" s="3"/>
      <c r="CA17" s="11">
        <f t="shared" si="18"/>
        <v>-0.15709999999999999</v>
      </c>
      <c r="CB17" s="12">
        <f t="shared" si="19"/>
        <v>1.924708222661442E-17</v>
      </c>
    </row>
    <row r="18" spans="2:80" x14ac:dyDescent="0.3">
      <c r="B18" t="s">
        <v>21</v>
      </c>
      <c r="C18">
        <f t="shared" si="20"/>
        <v>195</v>
      </c>
      <c r="E18" s="3">
        <v>147.69999999999999</v>
      </c>
      <c r="F18" s="3"/>
      <c r="G18" s="11">
        <f t="shared" si="0"/>
        <v>-0.14266724454289539</v>
      </c>
      <c r="H18" s="12">
        <f t="shared" si="1"/>
        <v>-3.8227572961642323E-2</v>
      </c>
      <c r="K18">
        <f t="shared" si="21"/>
        <v>195</v>
      </c>
      <c r="M18" s="3">
        <v>120.4</v>
      </c>
      <c r="N18" s="3"/>
      <c r="O18" s="11">
        <f t="shared" si="2"/>
        <v>-0.11629746948520384</v>
      </c>
      <c r="P18" s="12">
        <f t="shared" si="3"/>
        <v>-3.1161813030343505E-2</v>
      </c>
      <c r="S18">
        <f t="shared" si="22"/>
        <v>195</v>
      </c>
      <c r="U18" s="9">
        <v>81.39</v>
      </c>
      <c r="V18" s="9"/>
      <c r="W18" s="11">
        <f t="shared" si="4"/>
        <v>-7.8616703001667274E-2</v>
      </c>
      <c r="X18" s="12">
        <f t="shared" si="5"/>
        <v>-2.1065282080894168E-2</v>
      </c>
      <c r="AA18">
        <f t="shared" si="23"/>
        <v>195</v>
      </c>
      <c r="AC18" s="9">
        <v>79.150000000000006</v>
      </c>
      <c r="AD18" s="9"/>
      <c r="AE18" s="11">
        <f t="shared" si="6"/>
        <v>-7.6453029150779769E-2</v>
      </c>
      <c r="AF18" s="12">
        <f t="shared" si="7"/>
        <v>-2.0485527419864525E-2</v>
      </c>
      <c r="AI18">
        <f t="shared" si="24"/>
        <v>195</v>
      </c>
      <c r="AK18" s="3">
        <v>127.2</v>
      </c>
      <c r="AL18" s="3"/>
      <c r="AM18" s="11">
        <f t="shared" si="8"/>
        <v>-0.1228657651039695</v>
      </c>
      <c r="AN18" s="12">
        <f t="shared" si="9"/>
        <v>-3.2921782537040645E-2</v>
      </c>
      <c r="AQ18">
        <f t="shared" si="25"/>
        <v>195</v>
      </c>
      <c r="AS18" s="9">
        <v>66.27</v>
      </c>
      <c r="AT18" s="9"/>
      <c r="AU18" s="11">
        <f t="shared" si="10"/>
        <v>-6.4011904508176551E-2</v>
      </c>
      <c r="AV18" s="12">
        <f t="shared" si="11"/>
        <v>-1.7151938118944051E-2</v>
      </c>
      <c r="AY18">
        <f t="shared" si="26"/>
        <v>195</v>
      </c>
      <c r="BA18" s="9">
        <v>79.78</v>
      </c>
      <c r="BB18" s="9"/>
      <c r="BC18" s="11">
        <f t="shared" si="12"/>
        <v>-7.7061562421341878E-2</v>
      </c>
      <c r="BD18" s="12">
        <f t="shared" si="13"/>
        <v>-2.0648583418279111E-2</v>
      </c>
      <c r="BG18">
        <f t="shared" si="27"/>
        <v>195</v>
      </c>
      <c r="BI18" s="3">
        <v>118.7</v>
      </c>
      <c r="BJ18" s="3"/>
      <c r="BK18" s="11">
        <f t="shared" si="14"/>
        <v>-0.11465539558051241</v>
      </c>
      <c r="BL18" s="12">
        <f t="shared" si="15"/>
        <v>-3.072182065366922E-2</v>
      </c>
      <c r="BO18">
        <f t="shared" si="28"/>
        <v>195</v>
      </c>
      <c r="BQ18" s="3">
        <v>121.4</v>
      </c>
      <c r="BR18" s="3"/>
      <c r="BS18" s="11">
        <f t="shared" si="16"/>
        <v>-0.11726339531149291</v>
      </c>
      <c r="BT18" s="12">
        <f t="shared" si="17"/>
        <v>-3.1420632075446028E-2</v>
      </c>
      <c r="BW18">
        <f t="shared" si="29"/>
        <v>195</v>
      </c>
      <c r="BY18" s="3">
        <v>131.19999999999999</v>
      </c>
      <c r="BZ18" s="3"/>
      <c r="CA18" s="11">
        <f t="shared" si="18"/>
        <v>-0.12672946840912575</v>
      </c>
      <c r="CB18" s="12">
        <f t="shared" si="19"/>
        <v>-3.3957058717450722E-2</v>
      </c>
    </row>
    <row r="19" spans="2:80" x14ac:dyDescent="0.3">
      <c r="B19" t="s">
        <v>10</v>
      </c>
      <c r="C19">
        <f t="shared" si="20"/>
        <v>210</v>
      </c>
      <c r="E19" s="3">
        <v>116.2</v>
      </c>
      <c r="F19" s="3"/>
      <c r="G19" s="11">
        <f t="shared" si="0"/>
        <v>-0.10063215191975176</v>
      </c>
      <c r="H19" s="12">
        <f t="shared" si="1"/>
        <v>-5.8100000000000013E-2</v>
      </c>
      <c r="K19">
        <f t="shared" si="21"/>
        <v>210</v>
      </c>
      <c r="M19" s="3">
        <v>119.2</v>
      </c>
      <c r="N19" s="3"/>
      <c r="O19" s="11">
        <f t="shared" si="2"/>
        <v>-0.10323022813110508</v>
      </c>
      <c r="P19" s="12">
        <f t="shared" si="3"/>
        <v>-5.9600000000000014E-2</v>
      </c>
      <c r="S19">
        <f t="shared" si="22"/>
        <v>210</v>
      </c>
      <c r="U19" s="9">
        <v>82.37</v>
      </c>
      <c r="V19" s="9"/>
      <c r="W19" s="11">
        <f t="shared" si="4"/>
        <v>-7.133451250972421E-2</v>
      </c>
      <c r="X19" s="12">
        <f t="shared" si="5"/>
        <v>-4.1185000000000006E-2</v>
      </c>
      <c r="AA19">
        <f t="shared" si="23"/>
        <v>210</v>
      </c>
      <c r="AC19" s="9">
        <v>64.099999999999994</v>
      </c>
      <c r="AD19" s="9"/>
      <c r="AE19" s="11">
        <f t="shared" si="6"/>
        <v>-5.5512228382582504E-2</v>
      </c>
      <c r="AF19" s="12">
        <f t="shared" si="7"/>
        <v>-3.2050000000000002E-2</v>
      </c>
      <c r="AI19">
        <f t="shared" si="24"/>
        <v>210</v>
      </c>
      <c r="AK19" s="3">
        <v>105.2</v>
      </c>
      <c r="AL19" s="3"/>
      <c r="AM19" s="11">
        <f t="shared" si="8"/>
        <v>-9.1105872478122948E-2</v>
      </c>
      <c r="AN19" s="12">
        <f t="shared" si="9"/>
        <v>-5.2600000000000015E-2</v>
      </c>
      <c r="AQ19">
        <f t="shared" si="25"/>
        <v>210</v>
      </c>
      <c r="AS19" s="9">
        <v>44.36</v>
      </c>
      <c r="AT19" s="9"/>
      <c r="AU19" s="11">
        <f t="shared" si="10"/>
        <v>-3.8416886911877696E-2</v>
      </c>
      <c r="AV19" s="12">
        <f t="shared" si="11"/>
        <v>-2.2180000000000002E-2</v>
      </c>
      <c r="AY19">
        <f t="shared" si="26"/>
        <v>210</v>
      </c>
      <c r="BA19" s="9">
        <v>79.83</v>
      </c>
      <c r="BB19" s="9"/>
      <c r="BC19" s="11">
        <f t="shared" si="12"/>
        <v>-6.9134807984111729E-2</v>
      </c>
      <c r="BD19" s="12">
        <f t="shared" si="13"/>
        <v>-3.9915000000000006E-2</v>
      </c>
      <c r="BG19">
        <f t="shared" si="27"/>
        <v>210</v>
      </c>
      <c r="BI19" s="3">
        <v>117.7</v>
      </c>
      <c r="BJ19" s="3"/>
      <c r="BK19" s="11">
        <f t="shared" si="14"/>
        <v>-0.10193119002542843</v>
      </c>
      <c r="BL19" s="12">
        <f t="shared" si="15"/>
        <v>-5.8850000000000013E-2</v>
      </c>
      <c r="BO19">
        <f t="shared" si="28"/>
        <v>210</v>
      </c>
      <c r="BQ19" s="9">
        <v>84.81</v>
      </c>
      <c r="BR19" s="9"/>
      <c r="BS19" s="11">
        <f t="shared" si="16"/>
        <v>-7.3447614494958235E-2</v>
      </c>
      <c r="BT19" s="12">
        <f t="shared" si="17"/>
        <v>-4.2405000000000005E-2</v>
      </c>
      <c r="BW19">
        <f t="shared" si="29"/>
        <v>210</v>
      </c>
      <c r="BY19" s="10">
        <v>96.36</v>
      </c>
      <c r="BZ19" s="10"/>
      <c r="CA19" s="11">
        <f t="shared" si="18"/>
        <v>-8.34502079086685E-2</v>
      </c>
      <c r="CB19" s="12">
        <f t="shared" si="19"/>
        <v>-4.8180000000000014E-2</v>
      </c>
    </row>
    <row r="20" spans="2:80" x14ac:dyDescent="0.3">
      <c r="B20" t="s">
        <v>22</v>
      </c>
      <c r="C20">
        <f t="shared" si="20"/>
        <v>225</v>
      </c>
      <c r="E20" s="9">
        <v>77.61</v>
      </c>
      <c r="F20" s="9"/>
      <c r="G20" s="11">
        <f t="shared" si="0"/>
        <v>-5.4878557287887965E-2</v>
      </c>
      <c r="H20" s="12">
        <f t="shared" si="1"/>
        <v>-5.4878557287887944E-2</v>
      </c>
      <c r="K20">
        <f t="shared" si="21"/>
        <v>225</v>
      </c>
      <c r="M20" s="3">
        <v>117</v>
      </c>
      <c r="N20" s="3"/>
      <c r="O20" s="11">
        <f t="shared" si="2"/>
        <v>-8.2731493398826086E-2</v>
      </c>
      <c r="P20" s="12">
        <f t="shared" si="3"/>
        <v>-8.2731493398826059E-2</v>
      </c>
      <c r="S20">
        <f t="shared" si="22"/>
        <v>225</v>
      </c>
      <c r="U20" s="9">
        <v>81.180000000000007</v>
      </c>
      <c r="V20" s="9"/>
      <c r="W20" s="11">
        <f t="shared" si="4"/>
        <v>-5.7402928496723946E-2</v>
      </c>
      <c r="X20" s="12">
        <f t="shared" si="5"/>
        <v>-5.7402928496723925E-2</v>
      </c>
      <c r="AA20">
        <f t="shared" si="23"/>
        <v>225</v>
      </c>
      <c r="AC20" s="9">
        <v>42.44</v>
      </c>
      <c r="AD20" s="9"/>
      <c r="AE20" s="11">
        <f t="shared" si="6"/>
        <v>-3.0009611793557083E-2</v>
      </c>
      <c r="AF20" s="12">
        <f t="shared" si="7"/>
        <v>-3.0009611793557073E-2</v>
      </c>
      <c r="AI20">
        <f t="shared" si="24"/>
        <v>225</v>
      </c>
      <c r="AK20" s="9">
        <v>69.150000000000006</v>
      </c>
      <c r="AL20" s="9"/>
      <c r="AM20" s="11">
        <f t="shared" si="8"/>
        <v>-4.8896433919049777E-2</v>
      </c>
      <c r="AN20" s="12">
        <f t="shared" si="9"/>
        <v>-4.8896433919049756E-2</v>
      </c>
      <c r="AQ20">
        <f t="shared" si="25"/>
        <v>225</v>
      </c>
      <c r="AS20" s="9">
        <v>40.5</v>
      </c>
      <c r="AT20" s="9"/>
      <c r="AU20" s="11">
        <f t="shared" si="10"/>
        <v>-2.8637824638055181E-2</v>
      </c>
      <c r="AV20" s="12">
        <f t="shared" si="11"/>
        <v>-2.8637824638055174E-2</v>
      </c>
      <c r="AY20">
        <f t="shared" si="26"/>
        <v>225</v>
      </c>
      <c r="BA20" s="9">
        <v>79.260000000000005</v>
      </c>
      <c r="BB20" s="9"/>
      <c r="BC20" s="11">
        <f t="shared" si="12"/>
        <v>-5.6045283476845779E-2</v>
      </c>
      <c r="BD20" s="12">
        <f t="shared" si="13"/>
        <v>-5.6045283476845759E-2</v>
      </c>
      <c r="BG20">
        <f t="shared" si="27"/>
        <v>225</v>
      </c>
      <c r="BI20" s="9">
        <v>99.9</v>
      </c>
      <c r="BJ20" s="9"/>
      <c r="BK20" s="11">
        <f t="shared" si="14"/>
        <v>-7.0639967440536119E-2</v>
      </c>
      <c r="BL20" s="12">
        <f t="shared" si="15"/>
        <v>-7.0639967440536092E-2</v>
      </c>
      <c r="BO20">
        <f t="shared" si="28"/>
        <v>225</v>
      </c>
      <c r="BQ20" s="9">
        <v>44.26</v>
      </c>
      <c r="BR20" s="9"/>
      <c r="BS20" s="11">
        <f t="shared" si="16"/>
        <v>-3.12965461353166E-2</v>
      </c>
      <c r="BT20" s="12">
        <f t="shared" si="17"/>
        <v>-3.1296546135316593E-2</v>
      </c>
      <c r="BW20">
        <f t="shared" si="29"/>
        <v>225</v>
      </c>
      <c r="BY20" s="10">
        <v>55.14</v>
      </c>
      <c r="BZ20" s="10"/>
      <c r="CA20" s="11">
        <f t="shared" si="18"/>
        <v>-3.898986791462624E-2</v>
      </c>
      <c r="CB20" s="12">
        <f t="shared" si="19"/>
        <v>-3.8989867914626226E-2</v>
      </c>
    </row>
    <row r="21" spans="2:80" x14ac:dyDescent="0.3">
      <c r="B21" t="s">
        <v>13</v>
      </c>
      <c r="C21">
        <f t="shared" si="20"/>
        <v>240</v>
      </c>
      <c r="E21" s="9">
        <v>36.770000000000003</v>
      </c>
      <c r="F21" s="9"/>
      <c r="G21" s="11">
        <f t="shared" si="0"/>
        <v>-1.8385000000000019E-2</v>
      </c>
      <c r="H21" s="12">
        <f t="shared" si="1"/>
        <v>-3.1843754097153801E-2</v>
      </c>
      <c r="K21">
        <f t="shared" si="21"/>
        <v>240</v>
      </c>
      <c r="M21" s="9">
        <v>83.11</v>
      </c>
      <c r="N21" s="9"/>
      <c r="O21" s="11">
        <f t="shared" si="2"/>
        <v>-4.1555000000000036E-2</v>
      </c>
      <c r="P21" s="12">
        <f t="shared" si="3"/>
        <v>-7.1975371308524674E-2</v>
      </c>
      <c r="S21">
        <f t="shared" si="22"/>
        <v>240</v>
      </c>
      <c r="U21" s="9">
        <v>78.78</v>
      </c>
      <c r="V21" s="9"/>
      <c r="W21" s="11">
        <f t="shared" si="4"/>
        <v>-3.9390000000000036E-2</v>
      </c>
      <c r="X21" s="12">
        <f t="shared" si="5"/>
        <v>-6.8225481310138059E-2</v>
      </c>
      <c r="AA21">
        <f t="shared" si="23"/>
        <v>240</v>
      </c>
      <c r="AC21" s="9">
        <v>40.22</v>
      </c>
      <c r="AD21" s="9"/>
      <c r="AE21" s="11">
        <f t="shared" si="6"/>
        <v>-2.0110000000000017E-2</v>
      </c>
      <c r="AF21" s="12">
        <f t="shared" si="7"/>
        <v>-3.4831541740210109E-2</v>
      </c>
      <c r="AI21">
        <f t="shared" si="24"/>
        <v>240</v>
      </c>
      <c r="AK21" s="9">
        <v>33.67</v>
      </c>
      <c r="AL21" s="9"/>
      <c r="AM21" s="11">
        <f t="shared" si="8"/>
        <v>-1.6835000000000013E-2</v>
      </c>
      <c r="AN21" s="12">
        <f t="shared" si="9"/>
        <v>-2.9159075345422038E-2</v>
      </c>
      <c r="AQ21">
        <f t="shared" si="25"/>
        <v>240</v>
      </c>
      <c r="AS21" s="9">
        <v>40.33</v>
      </c>
      <c r="AT21" s="9"/>
      <c r="AU21" s="11">
        <f t="shared" si="10"/>
        <v>-2.0165000000000016E-2</v>
      </c>
      <c r="AV21" s="12">
        <f t="shared" si="11"/>
        <v>-3.4926804534626398E-2</v>
      </c>
      <c r="AY21">
        <f t="shared" si="26"/>
        <v>240</v>
      </c>
      <c r="BA21" s="9">
        <v>78.3</v>
      </c>
      <c r="BB21" s="9"/>
      <c r="BC21" s="11">
        <f t="shared" si="12"/>
        <v>-3.9150000000000032E-2</v>
      </c>
      <c r="BD21" s="12">
        <f t="shared" si="13"/>
        <v>-6.7809789116321517E-2</v>
      </c>
      <c r="BG21">
        <f t="shared" si="27"/>
        <v>240</v>
      </c>
      <c r="BI21" s="9">
        <v>80.010000000000005</v>
      </c>
      <c r="BJ21" s="9"/>
      <c r="BK21" s="11">
        <f t="shared" si="14"/>
        <v>-4.0005000000000041E-2</v>
      </c>
      <c r="BL21" s="12">
        <f t="shared" si="15"/>
        <v>-6.9290692556792918E-2</v>
      </c>
      <c r="BO21">
        <f t="shared" si="28"/>
        <v>240</v>
      </c>
      <c r="BQ21" s="8">
        <v>8.85</v>
      </c>
      <c r="BR21" s="8"/>
      <c r="BS21" s="11">
        <f t="shared" si="16"/>
        <v>-4.4250000000000045E-3</v>
      </c>
      <c r="BT21" s="12">
        <f t="shared" si="17"/>
        <v>-7.6643248234922797E-3</v>
      </c>
      <c r="BW21">
        <f t="shared" si="29"/>
        <v>240</v>
      </c>
      <c r="BY21" s="10">
        <v>22.66</v>
      </c>
      <c r="BZ21" s="10"/>
      <c r="CA21" s="11">
        <f t="shared" si="18"/>
        <v>-1.133000000000001E-2</v>
      </c>
      <c r="CB21" s="12">
        <f t="shared" si="19"/>
        <v>-1.9624135649755372E-2</v>
      </c>
    </row>
    <row r="22" spans="2:80" x14ac:dyDescent="0.3">
      <c r="B22" t="s">
        <v>23</v>
      </c>
      <c r="C22">
        <f t="shared" si="20"/>
        <v>255</v>
      </c>
      <c r="E22" s="8">
        <v>2.669</v>
      </c>
      <c r="F22" s="8"/>
      <c r="G22" s="11">
        <f t="shared" si="0"/>
        <v>-6.9078803137862757E-4</v>
      </c>
      <c r="H22" s="12">
        <f t="shared" si="1"/>
        <v>-2.5780560303655235E-3</v>
      </c>
      <c r="K22">
        <f t="shared" si="21"/>
        <v>255</v>
      </c>
      <c r="M22" s="9">
        <v>68.430000000000007</v>
      </c>
      <c r="N22" s="9"/>
      <c r="O22" s="11">
        <f t="shared" si="2"/>
        <v>-1.7710987256365489E-2</v>
      </c>
      <c r="P22" s="12">
        <f t="shared" si="3"/>
        <v>-6.6098304292960944E-2</v>
      </c>
      <c r="S22">
        <f t="shared" si="22"/>
        <v>255</v>
      </c>
      <c r="U22" s="9">
        <v>77.11</v>
      </c>
      <c r="V22" s="9"/>
      <c r="W22" s="11">
        <f t="shared" si="4"/>
        <v>-1.9957536567855365E-2</v>
      </c>
      <c r="X22" s="12">
        <f t="shared" si="5"/>
        <v>-7.4482540465150057E-2</v>
      </c>
      <c r="AA22">
        <f t="shared" si="23"/>
        <v>255</v>
      </c>
      <c r="AC22" s="9">
        <v>41.41</v>
      </c>
      <c r="AD22" s="9"/>
      <c r="AE22" s="11">
        <f t="shared" si="6"/>
        <v>-1.0717696657695378E-2</v>
      </c>
      <c r="AF22" s="12">
        <f t="shared" si="7"/>
        <v>-3.9998988466630317E-2</v>
      </c>
      <c r="AI22">
        <f t="shared" si="24"/>
        <v>255</v>
      </c>
      <c r="AK22" s="8">
        <v>1.2929999999999999</v>
      </c>
      <c r="AL22" s="8"/>
      <c r="AM22" s="11">
        <f t="shared" si="8"/>
        <v>-3.3465302531755916E-4</v>
      </c>
      <c r="AN22" s="12">
        <f t="shared" si="9"/>
        <v>-1.2489420933917653E-3</v>
      </c>
      <c r="AQ22">
        <f t="shared" si="25"/>
        <v>255</v>
      </c>
      <c r="AS22" s="9">
        <v>47.81</v>
      </c>
      <c r="AT22" s="9"/>
      <c r="AU22" s="11">
        <f t="shared" si="10"/>
        <v>-1.2374138546351512E-2</v>
      </c>
      <c r="AV22" s="12">
        <f t="shared" si="11"/>
        <v>-4.6180913754880364E-2</v>
      </c>
      <c r="AY22">
        <f t="shared" si="26"/>
        <v>255</v>
      </c>
      <c r="BA22" s="9">
        <v>76.67</v>
      </c>
      <c r="BB22" s="9"/>
      <c r="BC22" s="11">
        <f t="shared" si="12"/>
        <v>-1.9843656188010258E-2</v>
      </c>
      <c r="BD22" s="12">
        <f t="shared" si="13"/>
        <v>-7.4057533101582876E-2</v>
      </c>
      <c r="BG22">
        <f t="shared" si="27"/>
        <v>255</v>
      </c>
      <c r="BI22" s="9">
        <v>55.11</v>
      </c>
      <c r="BJ22" s="9"/>
      <c r="BK22" s="11">
        <f t="shared" si="14"/>
        <v>-1.4263517575599911E-2</v>
      </c>
      <c r="BL22" s="12">
        <f t="shared" si="15"/>
        <v>-5.3232172286790551E-2</v>
      </c>
      <c r="BO22">
        <f t="shared" si="28"/>
        <v>255</v>
      </c>
      <c r="BQ22" s="8">
        <v>7.0000000000000007E-2</v>
      </c>
      <c r="BR22" s="8"/>
      <c r="BS22" s="11">
        <f t="shared" si="16"/>
        <v>-1.8117333157176447E-5</v>
      </c>
      <c r="BT22" s="12">
        <f t="shared" si="17"/>
        <v>-6.7614807840234791E-5</v>
      </c>
      <c r="BW22">
        <f t="shared" si="29"/>
        <v>255</v>
      </c>
      <c r="BY22" s="8">
        <v>0.192</v>
      </c>
      <c r="BZ22" s="8"/>
      <c r="CA22" s="11">
        <f t="shared" si="18"/>
        <v>-4.9693256659683964E-5</v>
      </c>
      <c r="CB22" s="12">
        <f t="shared" si="19"/>
        <v>-1.8545775864750111E-4</v>
      </c>
    </row>
    <row r="23" spans="2:80" x14ac:dyDescent="0.3">
      <c r="B23" t="s">
        <v>24</v>
      </c>
      <c r="C23">
        <f t="shared" si="20"/>
        <v>270</v>
      </c>
      <c r="E23" s="8">
        <v>0.48</v>
      </c>
      <c r="F23" s="8"/>
      <c r="G23" s="11">
        <f t="shared" si="0"/>
        <v>-8.8210688753420628E-20</v>
      </c>
      <c r="H23" s="12">
        <f t="shared" si="1"/>
        <v>-4.7999999999999996E-4</v>
      </c>
      <c r="K23">
        <f t="shared" si="21"/>
        <v>270</v>
      </c>
      <c r="M23" s="9">
        <v>41.41</v>
      </c>
      <c r="N23" s="9"/>
      <c r="O23" s="11">
        <f t="shared" si="2"/>
        <v>-7.6100096276648928E-18</v>
      </c>
      <c r="P23" s="12">
        <f t="shared" si="3"/>
        <v>-4.1409999999999995E-2</v>
      </c>
      <c r="S23">
        <f t="shared" si="22"/>
        <v>270</v>
      </c>
      <c r="U23" s="9">
        <v>71.760000000000005</v>
      </c>
      <c r="V23" s="9"/>
      <c r="W23" s="11">
        <f t="shared" si="4"/>
        <v>-1.3187497968636386E-17</v>
      </c>
      <c r="X23" s="12">
        <f t="shared" si="5"/>
        <v>-7.1760000000000004E-2</v>
      </c>
      <c r="AA23">
        <f t="shared" si="23"/>
        <v>270</v>
      </c>
      <c r="AC23" s="9">
        <v>53.27</v>
      </c>
      <c r="AD23" s="9"/>
      <c r="AE23" s="11">
        <f t="shared" si="6"/>
        <v>-9.7895487289473292E-18</v>
      </c>
      <c r="AF23" s="12">
        <f t="shared" si="7"/>
        <v>-5.3270000000000005E-2</v>
      </c>
      <c r="AI23">
        <f t="shared" si="24"/>
        <v>270</v>
      </c>
      <c r="AK23" s="8">
        <v>0.21099999999999999</v>
      </c>
      <c r="AL23" s="8"/>
      <c r="AM23" s="11">
        <f t="shared" si="8"/>
        <v>-3.8775948597857822E-20</v>
      </c>
      <c r="AN23" s="12">
        <f t="shared" si="9"/>
        <v>-2.1100000000000001E-4</v>
      </c>
      <c r="AQ23">
        <f t="shared" si="25"/>
        <v>270</v>
      </c>
      <c r="AS23" s="9">
        <v>74.239999999999995</v>
      </c>
      <c r="AT23" s="9"/>
      <c r="AU23" s="11">
        <f t="shared" si="10"/>
        <v>-1.3643253193862392E-17</v>
      </c>
      <c r="AV23" s="12">
        <f t="shared" si="11"/>
        <v>-7.424E-2</v>
      </c>
      <c r="AY23">
        <f t="shared" si="26"/>
        <v>270</v>
      </c>
      <c r="BA23" s="9">
        <v>74.27</v>
      </c>
      <c r="BB23" s="9"/>
      <c r="BC23" s="11">
        <f t="shared" si="12"/>
        <v>-1.3648766361909482E-17</v>
      </c>
      <c r="BD23" s="12">
        <f t="shared" si="13"/>
        <v>-7.4270000000000003E-2</v>
      </c>
      <c r="BG23">
        <f t="shared" si="27"/>
        <v>270</v>
      </c>
      <c r="BI23" s="9">
        <v>39.69</v>
      </c>
      <c r="BJ23" s="9"/>
      <c r="BK23" s="11">
        <f t="shared" si="14"/>
        <v>-7.2939213262984682E-18</v>
      </c>
      <c r="BL23" s="12">
        <f t="shared" si="15"/>
        <v>-3.9689999999999996E-2</v>
      </c>
      <c r="BO23">
        <f t="shared" si="28"/>
        <v>270</v>
      </c>
      <c r="BQ23" s="8">
        <v>0.17299999999999999</v>
      </c>
      <c r="BR23" s="8"/>
      <c r="BS23" s="11">
        <f t="shared" si="16"/>
        <v>-3.1792602404878686E-20</v>
      </c>
      <c r="BT23" s="12">
        <f t="shared" si="17"/>
        <v>-1.7299999999999998E-4</v>
      </c>
      <c r="BW23">
        <f t="shared" si="29"/>
        <v>270</v>
      </c>
      <c r="BY23" s="8">
        <v>7.6999999999999999E-2</v>
      </c>
      <c r="BZ23" s="8"/>
      <c r="CA23" s="11">
        <f t="shared" si="18"/>
        <v>-1.415046465419456E-20</v>
      </c>
      <c r="CB23" s="12">
        <f t="shared" si="19"/>
        <v>-7.7000000000000001E-5</v>
      </c>
    </row>
    <row r="24" spans="2:80" x14ac:dyDescent="0.3">
      <c r="B24">
        <v>-75</v>
      </c>
      <c r="C24">
        <f t="shared" si="20"/>
        <v>285</v>
      </c>
      <c r="E24" s="9">
        <v>10.75</v>
      </c>
      <c r="F24" s="9"/>
      <c r="G24" s="11">
        <f t="shared" si="0"/>
        <v>2.782304734852093E-3</v>
      </c>
      <c r="H24" s="12">
        <f t="shared" si="1"/>
        <v>-1.0383702632607485E-2</v>
      </c>
      <c r="K24">
        <f t="shared" si="21"/>
        <v>285</v>
      </c>
      <c r="M24" s="9">
        <v>37.11</v>
      </c>
      <c r="N24" s="9"/>
      <c r="O24" s="11">
        <f t="shared" si="2"/>
        <v>9.6047747637545266E-3</v>
      </c>
      <c r="P24" s="12">
        <f t="shared" si="3"/>
        <v>-3.584550741358733E-2</v>
      </c>
      <c r="S24">
        <f t="shared" si="22"/>
        <v>285</v>
      </c>
      <c r="U24" s="9">
        <v>69.400000000000006</v>
      </c>
      <c r="V24" s="9"/>
      <c r="W24" s="11">
        <f t="shared" si="4"/>
        <v>1.7962041730114911E-2</v>
      </c>
      <c r="X24" s="12">
        <f t="shared" si="5"/>
        <v>-6.7035252344461352E-2</v>
      </c>
      <c r="AA24">
        <f t="shared" si="23"/>
        <v>285</v>
      </c>
      <c r="AC24" s="9">
        <v>75.67</v>
      </c>
      <c r="AD24" s="9"/>
      <c r="AE24" s="11">
        <f t="shared" si="6"/>
        <v>1.9584837142907711E-2</v>
      </c>
      <c r="AF24" s="12">
        <f t="shared" si="7"/>
        <v>-7.3091607275293805E-2</v>
      </c>
      <c r="AI24">
        <f t="shared" si="24"/>
        <v>285</v>
      </c>
      <c r="AK24" s="9">
        <v>10.68</v>
      </c>
      <c r="AL24" s="9"/>
      <c r="AM24" s="11">
        <f t="shared" si="8"/>
        <v>2.7641874016949169E-3</v>
      </c>
      <c r="AN24" s="12">
        <f t="shared" si="9"/>
        <v>-1.0316087824767251E-2</v>
      </c>
      <c r="AQ24">
        <f t="shared" si="25"/>
        <v>285</v>
      </c>
      <c r="AS24" s="9">
        <v>81.99</v>
      </c>
      <c r="AT24" s="9"/>
      <c r="AU24" s="11">
        <f t="shared" si="10"/>
        <v>2.1220573507955639E-2</v>
      </c>
      <c r="AV24" s="12">
        <f t="shared" si="11"/>
        <v>-7.9196258497440719E-2</v>
      </c>
      <c r="AY24">
        <f t="shared" si="26"/>
        <v>285</v>
      </c>
      <c r="BA24" s="9">
        <v>75.150000000000006</v>
      </c>
      <c r="BB24" s="9"/>
      <c r="BC24" s="11">
        <f t="shared" si="12"/>
        <v>1.9450251239454402E-2</v>
      </c>
      <c r="BD24" s="12">
        <f t="shared" si="13"/>
        <v>-7.2589325845623498E-2</v>
      </c>
      <c r="BG24">
        <f t="shared" si="27"/>
        <v>285</v>
      </c>
      <c r="BI24" s="9">
        <v>36.36</v>
      </c>
      <c r="BJ24" s="9"/>
      <c r="BK24" s="11">
        <f t="shared" si="14"/>
        <v>9.4106604799276371E-3</v>
      </c>
      <c r="BL24" s="12">
        <f t="shared" si="15"/>
        <v>-3.5121063043870526E-2</v>
      </c>
      <c r="BO24">
        <f t="shared" si="28"/>
        <v>285</v>
      </c>
      <c r="BQ24" s="9">
        <v>16.28</v>
      </c>
      <c r="BR24" s="9"/>
      <c r="BS24" s="11">
        <f t="shared" si="16"/>
        <v>4.2135740542690314E-3</v>
      </c>
      <c r="BT24" s="12">
        <f t="shared" si="17"/>
        <v>-1.5725272451986037E-2</v>
      </c>
      <c r="BW24">
        <f t="shared" si="29"/>
        <v>285</v>
      </c>
      <c r="BY24" s="10">
        <v>13.06</v>
      </c>
      <c r="BZ24" s="10">
        <f>13-10</f>
        <v>3</v>
      </c>
      <c r="CA24" s="11">
        <f t="shared" si="18"/>
        <v>3.3801767290389151E-3</v>
      </c>
      <c r="CB24" s="12">
        <f t="shared" si="19"/>
        <v>-1.2614991291335234E-2</v>
      </c>
    </row>
    <row r="25" spans="2:80" x14ac:dyDescent="0.3">
      <c r="B25">
        <v>-60</v>
      </c>
      <c r="C25">
        <f t="shared" si="20"/>
        <v>300</v>
      </c>
      <c r="E25" s="9">
        <v>40.81</v>
      </c>
      <c r="F25" s="9"/>
      <c r="G25" s="11">
        <f t="shared" si="0"/>
        <v>2.0405000000000003E-2</v>
      </c>
      <c r="H25" s="12">
        <f t="shared" si="1"/>
        <v>-3.5342496728442939E-2</v>
      </c>
      <c r="K25">
        <f t="shared" si="21"/>
        <v>300</v>
      </c>
      <c r="M25" s="9">
        <v>37.590000000000003</v>
      </c>
      <c r="N25" s="9"/>
      <c r="O25" s="11">
        <f t="shared" si="2"/>
        <v>1.8795000000000006E-2</v>
      </c>
      <c r="P25" s="12">
        <f t="shared" si="3"/>
        <v>-3.2553894928257054E-2</v>
      </c>
      <c r="S25">
        <f t="shared" si="22"/>
        <v>300</v>
      </c>
      <c r="U25" s="9">
        <v>72.239999999999995</v>
      </c>
      <c r="V25" s="9"/>
      <c r="W25" s="11">
        <f t="shared" si="4"/>
        <v>3.6120000000000006E-2</v>
      </c>
      <c r="X25" s="12">
        <f t="shared" si="5"/>
        <v>-6.2561675169387848E-2</v>
      </c>
      <c r="AA25">
        <f t="shared" si="23"/>
        <v>300</v>
      </c>
      <c r="AC25" s="9">
        <v>82.13</v>
      </c>
      <c r="AD25" s="9"/>
      <c r="AE25" s="11">
        <f t="shared" si="6"/>
        <v>4.1065000000000004E-2</v>
      </c>
      <c r="AF25" s="12">
        <f t="shared" si="7"/>
        <v>-7.1126666412815939E-2</v>
      </c>
      <c r="AI25">
        <f t="shared" si="24"/>
        <v>300</v>
      </c>
      <c r="AK25" s="9">
        <v>40.380000000000003</v>
      </c>
      <c r="AL25" s="9"/>
      <c r="AM25" s="11">
        <f t="shared" si="8"/>
        <v>2.0190000000000003E-2</v>
      </c>
      <c r="AN25" s="12">
        <f t="shared" si="9"/>
        <v>-3.4970105804815632E-2</v>
      </c>
      <c r="AQ25">
        <f t="shared" si="25"/>
        <v>300</v>
      </c>
      <c r="AS25" s="3">
        <v>103.2</v>
      </c>
      <c r="AT25" s="3"/>
      <c r="AU25" s="11">
        <f t="shared" si="10"/>
        <v>5.1600000000000014E-2</v>
      </c>
      <c r="AV25" s="12">
        <f t="shared" si="11"/>
        <v>-8.9373821670554063E-2</v>
      </c>
      <c r="AY25">
        <f t="shared" si="26"/>
        <v>300</v>
      </c>
      <c r="BA25" s="9">
        <v>75.709999999999994</v>
      </c>
      <c r="BB25" s="9"/>
      <c r="BC25" s="11">
        <f t="shared" si="12"/>
        <v>3.7855000000000007E-2</v>
      </c>
      <c r="BD25" s="12">
        <f t="shared" si="13"/>
        <v>-6.556678332051985E-2</v>
      </c>
      <c r="BG25">
        <f t="shared" si="27"/>
        <v>300</v>
      </c>
      <c r="BI25" s="9">
        <v>37.57</v>
      </c>
      <c r="BJ25" s="9"/>
      <c r="BK25" s="11">
        <f t="shared" si="14"/>
        <v>1.8785000000000003E-2</v>
      </c>
      <c r="BL25" s="12">
        <f t="shared" si="15"/>
        <v>-3.2536574420181361E-2</v>
      </c>
      <c r="BO25">
        <f t="shared" si="28"/>
        <v>300</v>
      </c>
      <c r="BQ25" s="9">
        <v>45.44</v>
      </c>
      <c r="BR25" s="9"/>
      <c r="BS25" s="11">
        <f t="shared" si="16"/>
        <v>2.2720000000000001E-2</v>
      </c>
      <c r="BT25" s="12">
        <f t="shared" si="17"/>
        <v>-3.9352194347964886E-2</v>
      </c>
      <c r="BW25">
        <f t="shared" si="29"/>
        <v>300</v>
      </c>
      <c r="BY25" s="10">
        <v>43.42</v>
      </c>
      <c r="BZ25" s="10"/>
      <c r="CA25" s="11">
        <f t="shared" si="18"/>
        <v>2.1710000000000004E-2</v>
      </c>
      <c r="CB25" s="12">
        <f t="shared" si="19"/>
        <v>-3.7602823032320327E-2</v>
      </c>
    </row>
    <row r="26" spans="2:80" x14ac:dyDescent="0.3">
      <c r="B26">
        <v>-45</v>
      </c>
      <c r="C26">
        <f t="shared" si="20"/>
        <v>315</v>
      </c>
      <c r="E26" s="9">
        <v>81.97</v>
      </c>
      <c r="F26" s="9"/>
      <c r="G26" s="11">
        <f t="shared" si="0"/>
        <v>5.7961542853861285E-2</v>
      </c>
      <c r="H26" s="12">
        <f t="shared" si="1"/>
        <v>-5.7961542853861313E-2</v>
      </c>
      <c r="K26">
        <f t="shared" si="21"/>
        <v>315</v>
      </c>
      <c r="M26" s="9">
        <v>42.2</v>
      </c>
      <c r="N26" s="9"/>
      <c r="O26" s="11">
        <f t="shared" si="2"/>
        <v>2.9839906166072298E-2</v>
      </c>
      <c r="P26" s="12">
        <f t="shared" si="3"/>
        <v>-2.9839906166072312E-2</v>
      </c>
      <c r="S26">
        <f t="shared" si="22"/>
        <v>315</v>
      </c>
      <c r="U26" s="9">
        <v>77.11</v>
      </c>
      <c r="V26" s="9"/>
      <c r="W26" s="11">
        <f t="shared" si="4"/>
        <v>5.4525003897294665E-2</v>
      </c>
      <c r="X26" s="12">
        <f t="shared" si="5"/>
        <v>-5.4525003897294692E-2</v>
      </c>
      <c r="AA26">
        <f t="shared" si="23"/>
        <v>315</v>
      </c>
      <c r="AC26" s="3">
        <v>103.3</v>
      </c>
      <c r="AD26" s="3"/>
      <c r="AE26" s="11">
        <f t="shared" si="6"/>
        <v>7.3044130496570339E-2</v>
      </c>
      <c r="AF26" s="12">
        <f t="shared" si="7"/>
        <v>-7.3044130496570381E-2</v>
      </c>
      <c r="AI26">
        <f t="shared" si="24"/>
        <v>315</v>
      </c>
      <c r="AK26" s="9">
        <v>80.22</v>
      </c>
      <c r="AL26" s="9"/>
      <c r="AM26" s="11">
        <f t="shared" si="8"/>
        <v>5.6724105986784831E-2</v>
      </c>
      <c r="AN26" s="12">
        <f t="shared" si="9"/>
        <v>-5.6724105986784852E-2</v>
      </c>
      <c r="AQ26">
        <f t="shared" si="25"/>
        <v>315</v>
      </c>
      <c r="AS26" s="3">
        <v>116.1</v>
      </c>
      <c r="AT26" s="3"/>
      <c r="AU26" s="11">
        <f t="shared" si="10"/>
        <v>8.2095097295758146E-2</v>
      </c>
      <c r="AV26" s="12">
        <f t="shared" si="11"/>
        <v>-8.2095097295758188E-2</v>
      </c>
      <c r="AY26">
        <f t="shared" si="26"/>
        <v>315</v>
      </c>
      <c r="BA26" s="9">
        <v>76.739999999999995</v>
      </c>
      <c r="BB26" s="9"/>
      <c r="BC26" s="11">
        <f t="shared" si="12"/>
        <v>5.4263374388255639E-2</v>
      </c>
      <c r="BD26" s="12">
        <f t="shared" si="13"/>
        <v>-5.426337438825566E-2</v>
      </c>
      <c r="BG26">
        <f t="shared" si="27"/>
        <v>315</v>
      </c>
      <c r="BI26" s="9">
        <v>41.52</v>
      </c>
      <c r="BJ26" s="9"/>
      <c r="BK26" s="11">
        <f t="shared" si="14"/>
        <v>2.9359073554865448E-2</v>
      </c>
      <c r="BL26" s="12">
        <f t="shared" si="15"/>
        <v>-2.9359073554865462E-2</v>
      </c>
      <c r="BO26">
        <f t="shared" si="28"/>
        <v>315</v>
      </c>
      <c r="BQ26" s="9">
        <v>88.48</v>
      </c>
      <c r="BR26" s="9"/>
      <c r="BS26" s="11">
        <f t="shared" si="16"/>
        <v>6.2564807999385713E-2</v>
      </c>
      <c r="BT26" s="12">
        <f t="shared" si="17"/>
        <v>-6.2564807999385741E-2</v>
      </c>
      <c r="BW26">
        <f t="shared" si="29"/>
        <v>315</v>
      </c>
      <c r="BY26" s="10">
        <v>85.16</v>
      </c>
      <c r="BZ26" s="10"/>
      <c r="CA26" s="11">
        <f t="shared" si="18"/>
        <v>6.0217213485846369E-2</v>
      </c>
      <c r="CB26" s="12">
        <f t="shared" si="19"/>
        <v>-6.0217213485846403E-2</v>
      </c>
    </row>
    <row r="27" spans="2:80" x14ac:dyDescent="0.3">
      <c r="B27">
        <v>-30</v>
      </c>
      <c r="C27">
        <f t="shared" si="20"/>
        <v>330</v>
      </c>
      <c r="E27" s="3">
        <v>122.1</v>
      </c>
      <c r="F27" s="3"/>
      <c r="G27" s="11">
        <f t="shared" si="0"/>
        <v>0.10574170180207992</v>
      </c>
      <c r="H27" s="12">
        <f t="shared" si="1"/>
        <v>-6.1050000000000056E-2</v>
      </c>
      <c r="K27">
        <f t="shared" si="21"/>
        <v>330</v>
      </c>
      <c r="M27" s="9">
        <v>69.7</v>
      </c>
      <c r="N27" s="9"/>
      <c r="O27" s="11">
        <f t="shared" si="2"/>
        <v>6.0361970643775353E-2</v>
      </c>
      <c r="P27" s="12">
        <f t="shared" si="3"/>
        <v>-3.4850000000000027E-2</v>
      </c>
      <c r="S27">
        <f t="shared" si="22"/>
        <v>330</v>
      </c>
      <c r="U27" s="9">
        <v>79.67</v>
      </c>
      <c r="V27" s="9"/>
      <c r="W27" s="11">
        <f t="shared" si="4"/>
        <v>6.8996243919506206E-2</v>
      </c>
      <c r="X27" s="12">
        <f t="shared" si="5"/>
        <v>-3.9835000000000037E-2</v>
      </c>
      <c r="AA27">
        <f t="shared" si="23"/>
        <v>330</v>
      </c>
      <c r="AC27" s="3">
        <v>114.1</v>
      </c>
      <c r="AD27" s="3"/>
      <c r="AE27" s="11">
        <f t="shared" si="6"/>
        <v>9.8813498571804409E-2</v>
      </c>
      <c r="AF27" s="12">
        <f t="shared" si="7"/>
        <v>-5.7050000000000045E-2</v>
      </c>
      <c r="AI27">
        <f t="shared" si="24"/>
        <v>330</v>
      </c>
      <c r="AK27" s="3">
        <v>120.1</v>
      </c>
      <c r="AL27" s="3"/>
      <c r="AM27" s="11">
        <f t="shared" si="8"/>
        <v>0.10400965099451105</v>
      </c>
      <c r="AN27" s="12">
        <f t="shared" si="9"/>
        <v>-6.0050000000000055E-2</v>
      </c>
      <c r="AQ27">
        <f t="shared" si="25"/>
        <v>330</v>
      </c>
      <c r="AS27" s="3">
        <v>115.5</v>
      </c>
      <c r="AT27" s="3"/>
      <c r="AU27" s="11">
        <f t="shared" si="10"/>
        <v>0.10002593413710263</v>
      </c>
      <c r="AV27" s="12">
        <f t="shared" si="11"/>
        <v>-5.7750000000000051E-2</v>
      </c>
      <c r="AY27">
        <f t="shared" si="26"/>
        <v>330</v>
      </c>
      <c r="BA27" s="9">
        <v>79.19</v>
      </c>
      <c r="BB27" s="9"/>
      <c r="BC27" s="11">
        <f t="shared" si="12"/>
        <v>6.8580551725689678E-2</v>
      </c>
      <c r="BD27" s="12">
        <f t="shared" si="13"/>
        <v>-3.9595000000000033E-2</v>
      </c>
      <c r="BG27">
        <f t="shared" si="27"/>
        <v>330</v>
      </c>
      <c r="BI27" s="9">
        <v>70.19</v>
      </c>
      <c r="BJ27" s="9"/>
      <c r="BK27" s="11">
        <f t="shared" si="14"/>
        <v>6.0786323091629735E-2</v>
      </c>
      <c r="BL27" s="12">
        <f t="shared" si="15"/>
        <v>-3.5095000000000029E-2</v>
      </c>
      <c r="BO27">
        <f t="shared" si="28"/>
        <v>330</v>
      </c>
      <c r="BQ27" s="3">
        <v>122.9</v>
      </c>
      <c r="BR27" s="3"/>
      <c r="BS27" s="11">
        <f t="shared" si="16"/>
        <v>0.10643452212510748</v>
      </c>
      <c r="BT27" s="12">
        <f t="shared" si="17"/>
        <v>-6.145000000000006E-2</v>
      </c>
      <c r="BW27">
        <f t="shared" si="29"/>
        <v>330</v>
      </c>
      <c r="BY27" s="3">
        <v>121.1</v>
      </c>
      <c r="BZ27" s="3"/>
      <c r="CA27" s="11">
        <f t="shared" si="18"/>
        <v>0.10487567639829548</v>
      </c>
      <c r="CB27" s="12">
        <f t="shared" si="19"/>
        <v>-6.0550000000000055E-2</v>
      </c>
    </row>
    <row r="28" spans="2:80" x14ac:dyDescent="0.3">
      <c r="B28">
        <v>-15</v>
      </c>
      <c r="C28">
        <f t="shared" si="20"/>
        <v>345</v>
      </c>
      <c r="E28" s="3">
        <v>158.19999999999999</v>
      </c>
      <c r="F28" s="3"/>
      <c r="G28" s="11">
        <f t="shared" si="0"/>
        <v>0.15280946571893059</v>
      </c>
      <c r="H28" s="12">
        <f t="shared" si="1"/>
        <v>-4.0945172935218765E-2</v>
      </c>
      <c r="K28">
        <f t="shared" si="21"/>
        <v>345</v>
      </c>
      <c r="M28" s="9">
        <v>83.24</v>
      </c>
      <c r="N28" s="9"/>
      <c r="O28" s="11">
        <f t="shared" si="2"/>
        <v>8.0403665780302044E-2</v>
      </c>
      <c r="P28" s="12">
        <f t="shared" si="3"/>
        <v>-2.1544097314333821E-2</v>
      </c>
      <c r="S28">
        <f t="shared" si="22"/>
        <v>345</v>
      </c>
      <c r="U28" s="9">
        <v>81.5</v>
      </c>
      <c r="V28" s="9"/>
      <c r="W28" s="11">
        <f t="shared" si="4"/>
        <v>7.8722954842559076E-2</v>
      </c>
      <c r="X28" s="12">
        <f t="shared" si="5"/>
        <v>-2.1093752175855438E-2</v>
      </c>
      <c r="AA28">
        <f t="shared" si="23"/>
        <v>345</v>
      </c>
      <c r="AC28" s="3">
        <v>111.9</v>
      </c>
      <c r="AD28" s="3"/>
      <c r="AE28" s="11">
        <f t="shared" si="6"/>
        <v>0.10808709996174674</v>
      </c>
      <c r="AF28" s="12">
        <f t="shared" si="7"/>
        <v>-2.8961851146972063E-2</v>
      </c>
      <c r="AI28">
        <f t="shared" si="24"/>
        <v>345</v>
      </c>
      <c r="AK28" s="3">
        <v>149</v>
      </c>
      <c r="AL28" s="3"/>
      <c r="AM28" s="11">
        <f t="shared" si="8"/>
        <v>0.14392294811707118</v>
      </c>
      <c r="AN28" s="12">
        <f t="shared" si="9"/>
        <v>-3.8564037720275578E-2</v>
      </c>
      <c r="AQ28">
        <f t="shared" si="25"/>
        <v>345</v>
      </c>
      <c r="AS28" s="3">
        <v>104.6</v>
      </c>
      <c r="AT28" s="3"/>
      <c r="AU28" s="11">
        <f t="shared" si="10"/>
        <v>0.10103584142983654</v>
      </c>
      <c r="AV28" s="12">
        <f t="shared" si="11"/>
        <v>-2.7072472117723664E-2</v>
      </c>
      <c r="AY28">
        <f t="shared" si="26"/>
        <v>345</v>
      </c>
      <c r="BA28" s="9">
        <v>79.989999999999995</v>
      </c>
      <c r="BB28" s="9"/>
      <c r="BC28" s="11">
        <f t="shared" si="12"/>
        <v>7.7264406844862563E-2</v>
      </c>
      <c r="BD28" s="12">
        <f t="shared" si="13"/>
        <v>-2.0702935417750628E-2</v>
      </c>
      <c r="BG28">
        <f t="shared" si="27"/>
        <v>345</v>
      </c>
      <c r="BI28" s="9">
        <v>86.04</v>
      </c>
      <c r="BJ28" s="9"/>
      <c r="BK28" s="11">
        <f t="shared" si="14"/>
        <v>8.3108258093911438E-2</v>
      </c>
      <c r="BL28" s="12">
        <f t="shared" si="15"/>
        <v>-2.2268790640620879E-2</v>
      </c>
      <c r="BO28">
        <f t="shared" si="28"/>
        <v>345</v>
      </c>
      <c r="BQ28" s="3">
        <v>154.4</v>
      </c>
      <c r="BR28" s="3"/>
      <c r="BS28" s="11">
        <f t="shared" si="16"/>
        <v>0.14913894757903215</v>
      </c>
      <c r="BT28" s="12">
        <f t="shared" si="17"/>
        <v>-3.9961660563829195E-2</v>
      </c>
      <c r="BW28">
        <f t="shared" si="29"/>
        <v>345</v>
      </c>
      <c r="BY28" s="3">
        <v>153.6</v>
      </c>
      <c r="BZ28" s="3"/>
      <c r="CA28" s="11">
        <f t="shared" si="18"/>
        <v>0.14836620691800087</v>
      </c>
      <c r="CB28" s="12">
        <f t="shared" si="19"/>
        <v>-3.9754605327747175E-2</v>
      </c>
    </row>
    <row r="29" spans="2:80" x14ac:dyDescent="0.3">
      <c r="B29">
        <v>0</v>
      </c>
      <c r="C29">
        <f t="shared" si="20"/>
        <v>360</v>
      </c>
      <c r="E29" s="3">
        <v>160.1</v>
      </c>
      <c r="F29" s="3"/>
      <c r="G29" s="11">
        <f t="shared" si="0"/>
        <v>0.16009999999999999</v>
      </c>
      <c r="H29" s="12">
        <f t="shared" si="1"/>
        <v>-3.9229253526174009E-17</v>
      </c>
      <c r="K29">
        <f t="shared" si="21"/>
        <v>360</v>
      </c>
      <c r="M29" s="3">
        <v>116</v>
      </c>
      <c r="N29" s="3"/>
      <c r="O29" s="11">
        <f t="shared" si="2"/>
        <v>0.11600000000000001</v>
      </c>
      <c r="P29" s="12">
        <f t="shared" si="3"/>
        <v>-2.8423444153879987E-17</v>
      </c>
      <c r="S29">
        <f t="shared" si="22"/>
        <v>360</v>
      </c>
      <c r="U29" s="9">
        <v>85</v>
      </c>
      <c r="V29" s="9"/>
      <c r="W29" s="11">
        <f t="shared" si="4"/>
        <v>8.5000000000000006E-2</v>
      </c>
      <c r="X29" s="12">
        <f t="shared" si="5"/>
        <v>-2.0827523733446543E-17</v>
      </c>
      <c r="AA29">
        <f t="shared" si="23"/>
        <v>360</v>
      </c>
      <c r="AC29" s="9">
        <v>92.91</v>
      </c>
      <c r="AD29" s="9"/>
      <c r="AE29" s="11">
        <f t="shared" si="6"/>
        <v>9.2909999999999993E-2</v>
      </c>
      <c r="AF29" s="12">
        <f t="shared" si="7"/>
        <v>-2.2765708589111976E-17</v>
      </c>
      <c r="AI29">
        <f t="shared" si="24"/>
        <v>360</v>
      </c>
      <c r="AK29" s="3">
        <v>156</v>
      </c>
      <c r="AL29" s="3"/>
      <c r="AM29" s="11">
        <f t="shared" si="8"/>
        <v>0.156</v>
      </c>
      <c r="AN29" s="12">
        <f t="shared" si="9"/>
        <v>-3.8224631793148945E-17</v>
      </c>
      <c r="AQ29">
        <f t="shared" si="25"/>
        <v>360</v>
      </c>
      <c r="AS29" s="9">
        <v>81.55</v>
      </c>
      <c r="AT29" s="9"/>
      <c r="AU29" s="11">
        <f t="shared" si="10"/>
        <v>8.1549999999999997E-2</v>
      </c>
      <c r="AV29" s="12">
        <f t="shared" si="11"/>
        <v>-1.9982171299559592E-17</v>
      </c>
      <c r="AY29">
        <f t="shared" si="26"/>
        <v>360</v>
      </c>
      <c r="BA29" s="9">
        <v>80.16</v>
      </c>
      <c r="BB29" s="9"/>
      <c r="BC29" s="11">
        <f t="shared" si="12"/>
        <v>8.0159999999999995E-2</v>
      </c>
      <c r="BD29" s="12">
        <f t="shared" si="13"/>
        <v>-1.9641580029094995E-17</v>
      </c>
      <c r="BG29">
        <f t="shared" si="27"/>
        <v>360</v>
      </c>
      <c r="BI29" s="3">
        <v>116.9</v>
      </c>
      <c r="BJ29" s="3"/>
      <c r="BK29" s="11">
        <f t="shared" si="14"/>
        <v>0.1169</v>
      </c>
      <c r="BL29" s="12">
        <f t="shared" si="15"/>
        <v>-2.8643970875763538E-17</v>
      </c>
      <c r="BO29">
        <f t="shared" si="28"/>
        <v>360</v>
      </c>
      <c r="BQ29" s="3">
        <v>150.5</v>
      </c>
      <c r="BR29" s="3"/>
      <c r="BS29" s="11">
        <f t="shared" si="16"/>
        <v>0.15049999999999999</v>
      </c>
      <c r="BT29" s="12">
        <f t="shared" si="17"/>
        <v>-3.6876968492749462E-17</v>
      </c>
      <c r="BW29">
        <f t="shared" si="29"/>
        <v>360</v>
      </c>
      <c r="BY29" s="3">
        <v>157.69999999999999</v>
      </c>
      <c r="BZ29" s="3"/>
      <c r="CA29" s="11">
        <f t="shared" si="18"/>
        <v>0.15769999999999998</v>
      </c>
      <c r="CB29" s="12">
        <f t="shared" si="19"/>
        <v>-3.8641182267817868E-17</v>
      </c>
    </row>
    <row r="30" spans="2:80" x14ac:dyDescent="0.3">
      <c r="F30" s="3"/>
      <c r="N30" s="3"/>
      <c r="V30" s="3"/>
      <c r="AC30" s="4"/>
      <c r="AD30" s="3"/>
      <c r="AK30" s="3"/>
      <c r="AL30" s="3"/>
      <c r="AS30" s="4"/>
      <c r="AT30" s="3"/>
      <c r="BA30" s="4"/>
      <c r="BB30" s="3"/>
      <c r="BI30" s="3"/>
      <c r="BJ30" s="3"/>
    </row>
    <row r="31" spans="2:80" x14ac:dyDescent="0.3">
      <c r="F31" s="3"/>
      <c r="N31" s="3"/>
      <c r="U31" s="4"/>
      <c r="V31" s="3"/>
      <c r="AC31" s="4"/>
      <c r="AD31" s="3"/>
      <c r="AK31" s="3"/>
      <c r="AL31" s="3"/>
      <c r="AS31" s="4"/>
      <c r="AT31" s="3"/>
      <c r="BA31" s="4"/>
      <c r="BB31" s="3"/>
      <c r="BI31" s="3"/>
      <c r="BJ31" s="3"/>
    </row>
    <row r="32" spans="2:80" x14ac:dyDescent="0.3">
      <c r="F32" s="3"/>
      <c r="N32" s="3"/>
      <c r="U32" s="3"/>
      <c r="V32" s="3"/>
      <c r="AC32" s="4"/>
      <c r="AD32" s="3"/>
      <c r="AK32" s="4"/>
      <c r="AL32" s="3"/>
      <c r="AS32" s="4"/>
      <c r="AT32" s="3"/>
      <c r="BA32" s="3"/>
      <c r="BB32" s="3"/>
      <c r="BI32" s="3"/>
      <c r="BJ32" s="3"/>
    </row>
    <row r="33" spans="6:62" x14ac:dyDescent="0.3">
      <c r="F33" s="3"/>
      <c r="N33" s="3"/>
      <c r="U33" s="3"/>
      <c r="V33" s="3"/>
      <c r="AC33" s="4"/>
      <c r="AD33" s="3"/>
      <c r="AK33" s="4"/>
      <c r="AL33" s="3"/>
      <c r="AS33" s="4"/>
      <c r="AT33" s="3"/>
      <c r="BA33" s="3"/>
      <c r="BB33" s="3"/>
      <c r="BI33" s="3"/>
      <c r="BJ33" s="3"/>
    </row>
    <row r="34" spans="6:62" x14ac:dyDescent="0.3">
      <c r="F34" s="3"/>
      <c r="N34" s="3"/>
      <c r="U34" s="3"/>
      <c r="V34" s="3"/>
      <c r="AC34" s="3"/>
      <c r="AD34" s="3"/>
      <c r="AK34" s="4"/>
      <c r="AL34" s="3"/>
      <c r="AS34" s="3"/>
      <c r="AT34" s="3"/>
      <c r="BA34" s="3"/>
      <c r="BB34" s="3"/>
      <c r="BI34" s="3"/>
      <c r="BJ34" s="3"/>
    </row>
    <row r="35" spans="6:62" x14ac:dyDescent="0.3">
      <c r="F35" s="3"/>
      <c r="N35" s="3"/>
      <c r="U35" s="3"/>
      <c r="V35" s="3"/>
      <c r="AC35" s="3"/>
      <c r="AD35" s="3"/>
      <c r="AK35" s="3"/>
      <c r="AL35" s="3"/>
      <c r="AS35" s="3"/>
      <c r="AT35" s="3"/>
      <c r="BA35" s="3"/>
      <c r="BB35" s="3"/>
      <c r="BI35" s="3"/>
      <c r="BJ35" s="3"/>
    </row>
    <row r="36" spans="6:62" x14ac:dyDescent="0.3">
      <c r="F36" s="3"/>
      <c r="N36" s="3"/>
      <c r="U36" s="3"/>
      <c r="V36" s="3"/>
      <c r="AC36" s="3"/>
      <c r="AD36" s="3"/>
      <c r="AK36" s="3"/>
      <c r="AL36" s="3"/>
      <c r="AS36" s="3"/>
      <c r="AT36" s="3"/>
      <c r="BA36" s="3"/>
      <c r="BB36" s="3"/>
      <c r="BI36" s="3"/>
      <c r="BJ36" s="3"/>
    </row>
    <row r="37" spans="6:62" x14ac:dyDescent="0.3">
      <c r="F37" s="3"/>
      <c r="N37" s="3"/>
      <c r="U37" s="3"/>
      <c r="V37" s="3"/>
      <c r="AC37" s="3"/>
      <c r="AD37" s="3"/>
      <c r="AK37" s="3"/>
      <c r="AL37" s="3"/>
      <c r="AS37" s="3"/>
      <c r="AT37" s="3"/>
      <c r="BA37" s="3"/>
      <c r="BB37" s="3"/>
      <c r="BI37" s="3"/>
      <c r="BJ37" s="3"/>
    </row>
    <row r="38" spans="6:62" x14ac:dyDescent="0.3">
      <c r="F38" s="3"/>
      <c r="N38" s="3"/>
      <c r="U38" s="3"/>
      <c r="V38" s="3"/>
      <c r="AC38" s="3"/>
      <c r="AD38" s="3"/>
      <c r="AK38" s="3"/>
      <c r="AL38" s="3"/>
      <c r="AS38" s="3"/>
      <c r="AT38" s="3"/>
      <c r="BA38" s="3"/>
      <c r="BB38" s="3"/>
      <c r="BI38" s="3"/>
      <c r="BJ38" s="3"/>
    </row>
    <row r="39" spans="6:62" x14ac:dyDescent="0.3">
      <c r="F39" s="3"/>
      <c r="N39" s="3"/>
      <c r="U39" s="3"/>
      <c r="V39" s="3"/>
      <c r="AC39" s="3"/>
      <c r="AD39" s="3"/>
      <c r="AK39" s="3"/>
      <c r="AL39" s="3"/>
      <c r="AS39" s="3"/>
      <c r="AT39" s="3"/>
      <c r="BA39" s="3"/>
      <c r="BB39" s="3"/>
      <c r="BI39" s="3"/>
      <c r="BJ39" s="3"/>
    </row>
    <row r="40" spans="6:62" x14ac:dyDescent="0.3">
      <c r="F40" s="3"/>
      <c r="N40" s="3"/>
      <c r="U40" s="3"/>
      <c r="V40" s="3"/>
      <c r="AC40" s="3"/>
      <c r="AD40" s="3"/>
      <c r="AK40" s="3"/>
      <c r="AL40" s="3"/>
      <c r="AS40" s="3"/>
      <c r="AT40" s="3"/>
      <c r="BA40" s="3"/>
      <c r="BB40" s="3"/>
      <c r="BI40" s="3"/>
      <c r="BJ40" s="3"/>
    </row>
    <row r="41" spans="6:62" x14ac:dyDescent="0.3">
      <c r="F41" s="3"/>
      <c r="N41" s="3"/>
      <c r="U41" s="3"/>
      <c r="V41" s="3"/>
      <c r="AC41" s="3"/>
      <c r="AD41" s="3"/>
      <c r="AK41" s="3"/>
      <c r="AL41" s="3"/>
      <c r="AS41" s="3"/>
      <c r="AT41" s="3"/>
      <c r="BA41" s="3"/>
      <c r="BB41" s="3"/>
      <c r="BI41" s="3"/>
      <c r="BJ41" s="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0A7D-1A07-4B49-BDDA-816A4EA77C6B}">
  <dimension ref="A1:CB41"/>
  <sheetViews>
    <sheetView tabSelected="1" topLeftCell="A2" zoomScale="151" zoomScaleNormal="48" workbookViewId="0">
      <selection activeCell="J7" sqref="J7"/>
    </sheetView>
  </sheetViews>
  <sheetFormatPr defaultRowHeight="14.4" x14ac:dyDescent="0.3"/>
  <cols>
    <col min="1" max="1" width="10.88671875" bestFit="1" customWidth="1"/>
    <col min="2" max="2" width="6" customWidth="1"/>
    <col min="3" max="3" width="4.109375" customWidth="1"/>
    <col min="4" max="4" width="5.33203125" customWidth="1"/>
    <col min="5" max="6" width="5.88671875" bestFit="1" customWidth="1"/>
    <col min="7" max="8" width="6.5546875" bestFit="1" customWidth="1"/>
    <col min="9" max="9" width="3.21875" bestFit="1" customWidth="1"/>
    <col min="10" max="10" width="3.77734375" bestFit="1" customWidth="1"/>
    <col min="11" max="11" width="4.33203125" bestFit="1" customWidth="1"/>
    <col min="12" max="12" width="3.77734375" bestFit="1" customWidth="1"/>
    <col min="13" max="13" width="5.88671875" bestFit="1" customWidth="1"/>
    <col min="14" max="14" width="4.77734375" bestFit="1" customWidth="1"/>
    <col min="15" max="16" width="6.5546875" bestFit="1" customWidth="1"/>
    <col min="17" max="17" width="3.21875" bestFit="1" customWidth="1"/>
    <col min="18" max="18" width="3.77734375" bestFit="1" customWidth="1"/>
    <col min="19" max="19" width="4.33203125" bestFit="1" customWidth="1"/>
    <col min="20" max="20" width="3.77734375" bestFit="1" customWidth="1"/>
    <col min="21" max="21" width="5.88671875" bestFit="1" customWidth="1"/>
    <col min="22" max="22" width="4.6640625" customWidth="1"/>
    <col min="23" max="24" width="6.5546875" bestFit="1" customWidth="1"/>
    <col min="25" max="25" width="3.21875" bestFit="1" customWidth="1"/>
    <col min="26" max="26" width="3.77734375" bestFit="1" customWidth="1"/>
    <col min="27" max="27" width="4.33203125" bestFit="1" customWidth="1"/>
    <col min="28" max="28" width="3.77734375" bestFit="1" customWidth="1"/>
    <col min="29" max="29" width="5.6640625" customWidth="1"/>
    <col min="30" max="30" width="4.6640625" customWidth="1"/>
    <col min="31" max="32" width="6.5546875" bestFit="1" customWidth="1"/>
    <col min="33" max="33" width="3.21875" bestFit="1" customWidth="1"/>
    <col min="34" max="34" width="3.77734375" bestFit="1" customWidth="1"/>
    <col min="35" max="35" width="4.33203125" bestFit="1" customWidth="1"/>
    <col min="36" max="36" width="3.77734375" bestFit="1" customWidth="1"/>
    <col min="37" max="38" width="5.6640625" customWidth="1"/>
    <col min="39" max="40" width="6.5546875" bestFit="1" customWidth="1"/>
    <col min="41" max="41" width="4.33203125" bestFit="1" customWidth="1"/>
    <col min="42" max="42" width="3.77734375" bestFit="1" customWidth="1"/>
    <col min="43" max="43" width="4.33203125" bestFit="1" customWidth="1"/>
    <col min="44" max="44" width="3.77734375" bestFit="1" customWidth="1"/>
    <col min="45" max="45" width="5.6640625" customWidth="1"/>
    <col min="46" max="46" width="4.6640625" customWidth="1"/>
    <col min="47" max="48" width="6.5546875" bestFit="1" customWidth="1"/>
    <col min="49" max="49" width="4.33203125" bestFit="1" customWidth="1"/>
    <col min="50" max="50" width="3.77734375" bestFit="1" customWidth="1"/>
    <col min="51" max="51" width="4.33203125" bestFit="1" customWidth="1"/>
    <col min="52" max="52" width="3.6640625" customWidth="1"/>
    <col min="53" max="53" width="5.6640625" customWidth="1"/>
    <col min="54" max="54" width="4.6640625" customWidth="1"/>
    <col min="55" max="56" width="5.6640625" customWidth="1"/>
    <col min="57" max="57" width="4.109375" customWidth="1"/>
    <col min="58" max="58" width="3.6640625" customWidth="1"/>
    <col min="59" max="59" width="4.109375" customWidth="1"/>
    <col min="60" max="60" width="3.6640625" customWidth="1"/>
    <col min="61" max="61" width="5.6640625" customWidth="1"/>
    <col min="62" max="62" width="4.6640625" customWidth="1"/>
    <col min="63" max="64" width="5.6640625" customWidth="1"/>
    <col min="65" max="65" width="4.109375" customWidth="1"/>
    <col min="66" max="66" width="3.6640625" customWidth="1"/>
    <col min="67" max="67" width="4.109375" customWidth="1"/>
    <col min="68" max="68" width="3.6640625" customWidth="1"/>
    <col min="69" max="72" width="5.6640625" customWidth="1"/>
    <col min="73" max="73" width="4.109375" customWidth="1"/>
    <col min="74" max="74" width="3.6640625" customWidth="1"/>
    <col min="75" max="75" width="4.109375" customWidth="1"/>
    <col min="76" max="76" width="3.6640625" customWidth="1"/>
    <col min="77" max="80" width="5.6640625" customWidth="1"/>
  </cols>
  <sheetData>
    <row r="1" spans="1:80" x14ac:dyDescent="0.3">
      <c r="A1" s="1">
        <v>45806</v>
      </c>
    </row>
    <row r="2" spans="1:80" x14ac:dyDescent="0.3">
      <c r="A2" t="s">
        <v>0</v>
      </c>
    </row>
    <row r="4" spans="1:80" x14ac:dyDescent="0.3">
      <c r="A4" s="2" t="s">
        <v>1</v>
      </c>
      <c r="B4" s="2" t="s">
        <v>2</v>
      </c>
      <c r="C4" s="2" t="s">
        <v>5</v>
      </c>
      <c r="D4" s="2" t="s">
        <v>6</v>
      </c>
      <c r="E4" s="2" t="s">
        <v>3</v>
      </c>
      <c r="F4" s="2" t="s">
        <v>25</v>
      </c>
      <c r="G4" s="7" t="s">
        <v>16</v>
      </c>
      <c r="H4" s="6" t="s">
        <v>17</v>
      </c>
      <c r="I4" s="2" t="s">
        <v>1</v>
      </c>
      <c r="J4" s="2" t="s">
        <v>2</v>
      </c>
      <c r="K4" s="2" t="s">
        <v>5</v>
      </c>
      <c r="L4" s="2" t="s">
        <v>6</v>
      </c>
      <c r="M4" s="2" t="s">
        <v>3</v>
      </c>
      <c r="N4" s="2" t="s">
        <v>4</v>
      </c>
      <c r="O4" s="7" t="s">
        <v>16</v>
      </c>
      <c r="P4" s="6" t="s">
        <v>17</v>
      </c>
      <c r="Q4" s="2" t="s">
        <v>1</v>
      </c>
      <c r="R4" s="2" t="s">
        <v>2</v>
      </c>
      <c r="S4" s="2" t="s">
        <v>5</v>
      </c>
      <c r="T4" s="2" t="s">
        <v>6</v>
      </c>
      <c r="U4" s="2" t="s">
        <v>3</v>
      </c>
      <c r="V4" s="2" t="s">
        <v>4</v>
      </c>
      <c r="W4" s="7" t="s">
        <v>16</v>
      </c>
      <c r="X4" s="6" t="s">
        <v>17</v>
      </c>
      <c r="Y4" s="2" t="s">
        <v>1</v>
      </c>
      <c r="Z4" s="2" t="s">
        <v>2</v>
      </c>
      <c r="AA4" s="2" t="s">
        <v>5</v>
      </c>
      <c r="AB4" s="2" t="s">
        <v>6</v>
      </c>
      <c r="AC4" s="2" t="s">
        <v>3</v>
      </c>
      <c r="AD4" s="2" t="s">
        <v>4</v>
      </c>
      <c r="AE4" s="7" t="s">
        <v>16</v>
      </c>
      <c r="AF4" s="6" t="s">
        <v>17</v>
      </c>
      <c r="AG4" s="2" t="s">
        <v>1</v>
      </c>
      <c r="AH4" s="2" t="s">
        <v>2</v>
      </c>
      <c r="AI4" s="2" t="s">
        <v>5</v>
      </c>
      <c r="AJ4" s="2" t="s">
        <v>6</v>
      </c>
      <c r="AK4" s="2" t="s">
        <v>3</v>
      </c>
      <c r="AL4" s="2" t="s">
        <v>4</v>
      </c>
      <c r="AM4" s="7" t="s">
        <v>16</v>
      </c>
      <c r="AN4" s="6" t="s">
        <v>17</v>
      </c>
      <c r="AO4" s="2" t="s">
        <v>1</v>
      </c>
      <c r="AP4" s="2" t="s">
        <v>2</v>
      </c>
      <c r="AQ4" s="2" t="s">
        <v>5</v>
      </c>
      <c r="AR4" s="2" t="s">
        <v>6</v>
      </c>
      <c r="AS4" s="2" t="s">
        <v>3</v>
      </c>
      <c r="AT4" s="2" t="s">
        <v>4</v>
      </c>
      <c r="AU4" s="7" t="s">
        <v>16</v>
      </c>
      <c r="AV4" s="6" t="s">
        <v>17</v>
      </c>
      <c r="AW4" s="2" t="s">
        <v>1</v>
      </c>
      <c r="AX4" s="2" t="s">
        <v>2</v>
      </c>
      <c r="AY4" s="2" t="s">
        <v>5</v>
      </c>
      <c r="AZ4" s="2" t="s">
        <v>6</v>
      </c>
      <c r="BA4" s="2" t="s">
        <v>3</v>
      </c>
      <c r="BB4" s="2" t="s">
        <v>4</v>
      </c>
      <c r="BC4" s="7" t="s">
        <v>16</v>
      </c>
      <c r="BD4" s="6" t="s">
        <v>17</v>
      </c>
      <c r="BE4" s="2" t="s">
        <v>1</v>
      </c>
      <c r="BF4" s="2" t="s">
        <v>2</v>
      </c>
      <c r="BG4" s="2" t="s">
        <v>5</v>
      </c>
      <c r="BH4" s="2" t="s">
        <v>6</v>
      </c>
      <c r="BI4" s="2" t="s">
        <v>3</v>
      </c>
      <c r="BJ4" s="2" t="s">
        <v>4</v>
      </c>
      <c r="BK4" s="7" t="s">
        <v>16</v>
      </c>
      <c r="BL4" s="6" t="s">
        <v>17</v>
      </c>
      <c r="BM4" s="2" t="s">
        <v>1</v>
      </c>
      <c r="BN4" s="2" t="s">
        <v>2</v>
      </c>
      <c r="BO4" s="2" t="s">
        <v>5</v>
      </c>
      <c r="BP4" s="2" t="s">
        <v>6</v>
      </c>
      <c r="BQ4" s="2" t="s">
        <v>3</v>
      </c>
      <c r="BR4" s="2" t="s">
        <v>4</v>
      </c>
      <c r="BS4" s="7" t="s">
        <v>16</v>
      </c>
      <c r="BT4" s="6" t="s">
        <v>17</v>
      </c>
      <c r="BU4" s="2" t="s">
        <v>1</v>
      </c>
      <c r="BV4" s="2" t="s">
        <v>2</v>
      </c>
      <c r="BW4" s="2" t="s">
        <v>5</v>
      </c>
      <c r="BX4" s="2" t="s">
        <v>6</v>
      </c>
      <c r="BY4" s="2" t="s">
        <v>3</v>
      </c>
      <c r="BZ4" s="2" t="s">
        <v>4</v>
      </c>
      <c r="CA4" s="7" t="s">
        <v>16</v>
      </c>
      <c r="CB4" s="6" t="s">
        <v>17</v>
      </c>
    </row>
    <row r="5" spans="1:80" x14ac:dyDescent="0.3">
      <c r="A5">
        <v>0</v>
      </c>
      <c r="B5">
        <v>0.5</v>
      </c>
      <c r="C5">
        <v>0</v>
      </c>
      <c r="D5">
        <v>0.5</v>
      </c>
      <c r="E5" s="3">
        <v>160.30000000000001</v>
      </c>
      <c r="F5" s="3">
        <v>2.6</v>
      </c>
      <c r="G5" s="11">
        <v>0.1603</v>
      </c>
      <c r="H5" s="12">
        <v>0</v>
      </c>
      <c r="I5">
        <v>30</v>
      </c>
      <c r="J5">
        <v>0.5</v>
      </c>
      <c r="K5">
        <v>0</v>
      </c>
      <c r="L5">
        <v>0.5</v>
      </c>
      <c r="M5" s="3">
        <v>117.4</v>
      </c>
      <c r="N5" s="3">
        <v>2.6</v>
      </c>
      <c r="O5" s="11">
        <v>0.1174</v>
      </c>
      <c r="P5" s="12">
        <v>0</v>
      </c>
      <c r="Q5">
        <v>45</v>
      </c>
      <c r="R5">
        <v>0.5</v>
      </c>
      <c r="S5">
        <v>0</v>
      </c>
      <c r="T5">
        <v>0.5</v>
      </c>
      <c r="U5" s="9">
        <v>81.819999999999993</v>
      </c>
      <c r="V5" s="9">
        <v>1.4</v>
      </c>
      <c r="W5" s="11">
        <v>8.181999999999999E-2</v>
      </c>
      <c r="X5" s="12">
        <v>0</v>
      </c>
      <c r="Y5">
        <v>60</v>
      </c>
      <c r="Z5">
        <v>0.5</v>
      </c>
      <c r="AA5">
        <v>0</v>
      </c>
      <c r="AB5">
        <v>0.5</v>
      </c>
      <c r="AC5" s="3">
        <v>102.1</v>
      </c>
      <c r="AD5" s="3">
        <v>2.6</v>
      </c>
      <c r="AE5" s="11">
        <v>0.1021</v>
      </c>
      <c r="AF5" s="12">
        <v>0</v>
      </c>
      <c r="AG5">
        <v>90</v>
      </c>
      <c r="AH5">
        <v>0.5</v>
      </c>
      <c r="AI5">
        <v>0</v>
      </c>
      <c r="AJ5">
        <v>0.5</v>
      </c>
      <c r="AK5" s="3">
        <v>156.1</v>
      </c>
      <c r="AL5" s="3">
        <v>2.6</v>
      </c>
      <c r="AM5" s="11">
        <v>0.15609999999999999</v>
      </c>
      <c r="AN5" s="12">
        <v>0</v>
      </c>
      <c r="AO5">
        <v>-30</v>
      </c>
      <c r="AP5">
        <v>0.5</v>
      </c>
      <c r="AQ5">
        <v>0</v>
      </c>
      <c r="AR5">
        <v>0.5</v>
      </c>
      <c r="AS5" s="9">
        <v>81.709999999999994</v>
      </c>
      <c r="AT5" s="9">
        <v>1.4</v>
      </c>
      <c r="AU5" s="11">
        <v>8.1709999999999991E-2</v>
      </c>
      <c r="AV5" s="12">
        <v>0</v>
      </c>
      <c r="AW5">
        <v>-45</v>
      </c>
      <c r="AX5">
        <v>0.5</v>
      </c>
      <c r="AY5">
        <v>0</v>
      </c>
      <c r="AZ5">
        <v>0.5</v>
      </c>
      <c r="BA5" s="9">
        <v>80.22</v>
      </c>
      <c r="BB5" s="9">
        <v>1.4</v>
      </c>
      <c r="BC5" s="11">
        <v>8.022E-2</v>
      </c>
      <c r="BD5" s="12">
        <v>0</v>
      </c>
      <c r="BE5">
        <v>-60</v>
      </c>
      <c r="BF5">
        <v>0.5</v>
      </c>
      <c r="BG5">
        <v>0</v>
      </c>
      <c r="BH5">
        <v>0.5</v>
      </c>
      <c r="BI5" s="3">
        <v>115.1</v>
      </c>
      <c r="BJ5" s="3">
        <v>2.6</v>
      </c>
      <c r="BK5" s="11">
        <v>0.11509999999999999</v>
      </c>
      <c r="BL5" s="12">
        <v>0</v>
      </c>
      <c r="BM5">
        <v>180</v>
      </c>
      <c r="BN5">
        <v>0.5</v>
      </c>
      <c r="BO5">
        <v>0</v>
      </c>
      <c r="BP5">
        <v>0.5</v>
      </c>
      <c r="BQ5" s="3">
        <v>159</v>
      </c>
      <c r="BR5" s="3">
        <v>2.6</v>
      </c>
      <c r="BS5" s="11">
        <v>0.159</v>
      </c>
      <c r="BT5" s="12">
        <v>0</v>
      </c>
      <c r="BU5">
        <v>270</v>
      </c>
      <c r="BV5">
        <v>0.5</v>
      </c>
      <c r="BW5">
        <v>0</v>
      </c>
      <c r="BX5">
        <v>0.5</v>
      </c>
      <c r="BY5" s="3">
        <v>155.5</v>
      </c>
      <c r="BZ5" s="3">
        <v>2.6</v>
      </c>
      <c r="CA5" s="11">
        <v>0.1555</v>
      </c>
      <c r="CB5" s="12">
        <v>0</v>
      </c>
    </row>
    <row r="6" spans="1:80" x14ac:dyDescent="0.3">
      <c r="C6">
        <v>15</v>
      </c>
      <c r="E6" s="3">
        <v>150.30000000000001</v>
      </c>
      <c r="F6" s="3">
        <v>2.6</v>
      </c>
      <c r="G6" s="11">
        <v>0.145178651691247</v>
      </c>
      <c r="H6" s="12">
        <v>3.8900502478908874E-2</v>
      </c>
      <c r="K6">
        <v>15</v>
      </c>
      <c r="M6" s="3">
        <v>120.1</v>
      </c>
      <c r="N6" s="3">
        <v>2.6</v>
      </c>
      <c r="O6" s="11">
        <v>0.11600769173731711</v>
      </c>
      <c r="P6" s="12">
        <v>3.1084167316812742E-2</v>
      </c>
      <c r="S6">
        <v>15</v>
      </c>
      <c r="U6" s="9">
        <v>83.63</v>
      </c>
      <c r="V6" s="9">
        <v>1.4</v>
      </c>
      <c r="W6" s="11">
        <v>8.0780376852554778E-2</v>
      </c>
      <c r="X6" s="12">
        <v>2.164503674192381E-2</v>
      </c>
      <c r="AA6">
        <v>15</v>
      </c>
      <c r="AC6" s="9">
        <v>81.11</v>
      </c>
      <c r="AD6" s="9">
        <v>1.4</v>
      </c>
      <c r="AE6" s="11">
        <v>7.8346243770306329E-2</v>
      </c>
      <c r="AF6" s="12">
        <v>2.0992812748265456E-2</v>
      </c>
      <c r="AI6">
        <v>15</v>
      </c>
      <c r="AK6" s="3">
        <v>136</v>
      </c>
      <c r="AL6" s="3">
        <v>2.6</v>
      </c>
      <c r="AM6" s="11">
        <v>0.13136591237531331</v>
      </c>
      <c r="AN6" s="12">
        <v>3.5199390133942826E-2</v>
      </c>
      <c r="AO6">
        <v>330</v>
      </c>
      <c r="AQ6">
        <v>15</v>
      </c>
      <c r="AS6" s="9">
        <v>69.12</v>
      </c>
      <c r="AT6" s="9">
        <v>1.4</v>
      </c>
      <c r="AU6" s="11">
        <v>6.6764793113100407E-2</v>
      </c>
      <c r="AV6" s="12">
        <v>1.7889572397486234E-2</v>
      </c>
      <c r="AW6">
        <v>315</v>
      </c>
      <c r="AY6">
        <v>15</v>
      </c>
      <c r="BA6" s="9">
        <v>80.099999999999994</v>
      </c>
      <c r="BB6" s="9">
        <v>1.4</v>
      </c>
      <c r="BC6" s="11">
        <v>7.7370658685754365E-2</v>
      </c>
      <c r="BD6" s="12">
        <v>2.0731405512711909E-2</v>
      </c>
      <c r="BE6">
        <v>300</v>
      </c>
      <c r="BG6">
        <v>15</v>
      </c>
      <c r="BI6" s="3">
        <v>119.9</v>
      </c>
      <c r="BJ6" s="3">
        <v>2.6</v>
      </c>
      <c r="BK6" s="11">
        <v>0.1158145065720593</v>
      </c>
      <c r="BL6" s="12">
        <v>3.1032403507792239E-2</v>
      </c>
      <c r="BO6">
        <v>15</v>
      </c>
      <c r="BQ6" s="3">
        <v>128.6</v>
      </c>
      <c r="BR6" s="3">
        <v>2.6</v>
      </c>
      <c r="BS6" s="11">
        <v>0.12421806126077417</v>
      </c>
      <c r="BT6" s="12">
        <v>3.3284129200184163E-2</v>
      </c>
      <c r="BU6">
        <v>-90</v>
      </c>
      <c r="BW6">
        <v>15</v>
      </c>
      <c r="BY6" s="3">
        <v>129.30000000000001</v>
      </c>
      <c r="BZ6" s="3">
        <v>2.6</v>
      </c>
      <c r="CA6" s="11">
        <v>0.12489420933917653</v>
      </c>
      <c r="CB6" s="12">
        <v>3.3465302531755933E-2</v>
      </c>
    </row>
    <row r="7" spans="1:80" x14ac:dyDescent="0.3">
      <c r="C7">
        <v>30</v>
      </c>
      <c r="E7" s="3">
        <v>118.6</v>
      </c>
      <c r="F7" s="3">
        <v>2.6</v>
      </c>
      <c r="G7" s="11">
        <v>0.10271061288883443</v>
      </c>
      <c r="H7" s="12">
        <v>5.9299999999999992E-2</v>
      </c>
      <c r="K7">
        <v>30</v>
      </c>
      <c r="M7" s="3">
        <v>119.9</v>
      </c>
      <c r="N7" s="3">
        <v>2.6</v>
      </c>
      <c r="O7" s="11">
        <v>0.10383644591375421</v>
      </c>
      <c r="P7" s="12">
        <v>5.9949999999999996E-2</v>
      </c>
      <c r="S7">
        <v>30</v>
      </c>
      <c r="U7" s="9">
        <v>82.12</v>
      </c>
      <c r="V7" s="9">
        <v>1.4</v>
      </c>
      <c r="W7" s="11">
        <v>7.1118006158778099E-2</v>
      </c>
      <c r="X7" s="12">
        <v>4.1059999999999992E-2</v>
      </c>
      <c r="AA7">
        <v>30</v>
      </c>
      <c r="AC7" s="9">
        <v>73.13</v>
      </c>
      <c r="AD7" s="9">
        <v>1.4</v>
      </c>
      <c r="AE7" s="11">
        <v>6.3332437778756009E-2</v>
      </c>
      <c r="AF7" s="12">
        <v>3.6564999999999993E-2</v>
      </c>
      <c r="AI7">
        <v>30</v>
      </c>
      <c r="AK7" s="3">
        <v>114.2</v>
      </c>
      <c r="AL7" s="3">
        <v>2.6</v>
      </c>
      <c r="AM7" s="11">
        <v>9.8900101112182892E-2</v>
      </c>
      <c r="AN7" s="12">
        <v>5.7099999999999991E-2</v>
      </c>
      <c r="AQ7">
        <v>30</v>
      </c>
      <c r="AS7" s="9">
        <v>46.3</v>
      </c>
      <c r="AT7" s="9">
        <v>1.4</v>
      </c>
      <c r="AU7" s="11">
        <v>4.0096976195219507E-2</v>
      </c>
      <c r="AV7" s="12">
        <v>2.3149999999999993E-2</v>
      </c>
      <c r="AY7">
        <v>30</v>
      </c>
      <c r="BA7" s="9">
        <v>80.150000000000006</v>
      </c>
      <c r="BB7" s="9">
        <v>1.4</v>
      </c>
      <c r="BC7" s="11">
        <v>6.9411936113322761E-2</v>
      </c>
      <c r="BD7" s="12">
        <v>4.0074999999999993E-2</v>
      </c>
      <c r="BG7">
        <v>30</v>
      </c>
      <c r="BI7" s="3">
        <v>119.2</v>
      </c>
      <c r="BJ7" s="3">
        <v>2.6</v>
      </c>
      <c r="BK7" s="11">
        <v>0.10323022813110509</v>
      </c>
      <c r="BL7" s="12">
        <v>5.9599999999999993E-2</v>
      </c>
      <c r="BO7">
        <v>30</v>
      </c>
      <c r="BQ7" s="9">
        <v>94.66</v>
      </c>
      <c r="BR7" s="9">
        <v>1.4</v>
      </c>
      <c r="BS7" s="11">
        <v>8.1977964722234967E-2</v>
      </c>
      <c r="BT7" s="12">
        <v>4.732999999999999E-2</v>
      </c>
      <c r="BW7">
        <v>30</v>
      </c>
      <c r="BY7" s="3">
        <v>107.6</v>
      </c>
      <c r="BZ7" s="3">
        <v>2.6</v>
      </c>
      <c r="CA7" s="11">
        <v>9.31843334472056E-2</v>
      </c>
      <c r="CB7" s="12">
        <v>5.3799999999999994E-2</v>
      </c>
    </row>
    <row r="8" spans="1:80" x14ac:dyDescent="0.3">
      <c r="C8">
        <v>45</v>
      </c>
      <c r="E8" s="9">
        <v>77.48</v>
      </c>
      <c r="F8" s="9">
        <v>1.4</v>
      </c>
      <c r="G8" s="11">
        <v>5.4786633406333711E-2</v>
      </c>
      <c r="H8" s="12">
        <v>5.4786633406333704E-2</v>
      </c>
      <c r="K8">
        <v>45</v>
      </c>
      <c r="M8" s="3">
        <v>112.8</v>
      </c>
      <c r="N8" s="3">
        <v>2.6</v>
      </c>
      <c r="O8" s="11">
        <v>7.9761644917842558E-2</v>
      </c>
      <c r="P8" s="12">
        <v>7.9761644917842558E-2</v>
      </c>
      <c r="S8">
        <v>45</v>
      </c>
      <c r="U8" s="9">
        <v>80.36</v>
      </c>
      <c r="V8" s="9">
        <v>1.4</v>
      </c>
      <c r="W8" s="11">
        <v>5.6823100936150964E-2</v>
      </c>
      <c r="X8" s="12">
        <v>5.6823100936150957E-2</v>
      </c>
      <c r="AA8">
        <v>45</v>
      </c>
      <c r="AC8" s="9">
        <v>45.53</v>
      </c>
      <c r="AD8" s="9">
        <v>1.4</v>
      </c>
      <c r="AE8" s="11">
        <v>3.219457174742351E-2</v>
      </c>
      <c r="AF8" s="12">
        <v>3.2194571747423503E-2</v>
      </c>
      <c r="AI8">
        <v>45</v>
      </c>
      <c r="AK8" s="9">
        <v>74.34</v>
      </c>
      <c r="AL8" s="9">
        <v>1.4</v>
      </c>
      <c r="AM8" s="11">
        <v>5.256631811340795E-2</v>
      </c>
      <c r="AN8" s="12">
        <v>5.2566318113407944E-2</v>
      </c>
      <c r="AQ8">
        <v>45</v>
      </c>
      <c r="AS8" s="9">
        <v>40.43</v>
      </c>
      <c r="AT8" s="9">
        <v>1.4</v>
      </c>
      <c r="AU8" s="11">
        <v>2.8588327163372118E-2</v>
      </c>
      <c r="AV8" s="12">
        <v>2.8588327163372115E-2</v>
      </c>
      <c r="AY8">
        <v>45</v>
      </c>
      <c r="BA8" s="9">
        <v>79.599999999999994</v>
      </c>
      <c r="BB8" s="9">
        <v>1.4</v>
      </c>
      <c r="BC8" s="11">
        <v>5.6285699782449176E-2</v>
      </c>
      <c r="BD8" s="12">
        <v>5.6285699782449169E-2</v>
      </c>
      <c r="BG8">
        <v>45</v>
      </c>
      <c r="BI8" s="3">
        <v>111.3</v>
      </c>
      <c r="BJ8" s="3">
        <v>2.6</v>
      </c>
      <c r="BK8" s="11">
        <v>7.8700984746062741E-2</v>
      </c>
      <c r="BL8" s="12">
        <v>7.8700984746062727E-2</v>
      </c>
      <c r="BO8">
        <v>45</v>
      </c>
      <c r="BQ8" s="9">
        <v>50.48</v>
      </c>
      <c r="BR8" s="9">
        <v>1.4</v>
      </c>
      <c r="BS8" s="11">
        <v>3.5694750314296919E-2</v>
      </c>
      <c r="BT8" s="12">
        <v>3.5694750314296912E-2</v>
      </c>
      <c r="BW8">
        <v>45</v>
      </c>
      <c r="BY8" s="10">
        <v>61.41</v>
      </c>
      <c r="BZ8" s="10">
        <v>1.4</v>
      </c>
      <c r="CA8" s="11">
        <v>4.3423427432665883E-2</v>
      </c>
      <c r="CB8" s="12">
        <v>4.3423427432665876E-2</v>
      </c>
    </row>
    <row r="9" spans="1:80" x14ac:dyDescent="0.3">
      <c r="C9">
        <v>60</v>
      </c>
      <c r="E9" s="9">
        <v>38.090000000000003</v>
      </c>
      <c r="F9" s="9">
        <v>1.4</v>
      </c>
      <c r="G9" s="11">
        <v>1.9045000000000006E-2</v>
      </c>
      <c r="H9" s="12">
        <v>3.2986907630149269E-2</v>
      </c>
      <c r="K9">
        <v>60</v>
      </c>
      <c r="M9" s="9">
        <v>87.72</v>
      </c>
      <c r="N9" s="9">
        <v>1.4</v>
      </c>
      <c r="O9" s="11">
        <v>4.3860000000000003E-2</v>
      </c>
      <c r="P9" s="12">
        <v>7.5967748419970949E-2</v>
      </c>
      <c r="S9">
        <v>60</v>
      </c>
      <c r="U9" s="9">
        <v>79.260000000000005</v>
      </c>
      <c r="V9" s="9">
        <v>1.4</v>
      </c>
      <c r="W9" s="11">
        <v>3.9630000000000012E-2</v>
      </c>
      <c r="X9" s="12">
        <v>6.8641173503954614E-2</v>
      </c>
      <c r="AA9">
        <v>60</v>
      </c>
      <c r="AC9" s="9">
        <v>40.799999999999997</v>
      </c>
      <c r="AD9" s="9">
        <v>1.4</v>
      </c>
      <c r="AE9" s="11">
        <v>2.0400000000000001E-2</v>
      </c>
      <c r="AF9" s="12">
        <v>3.5333836474405092E-2</v>
      </c>
      <c r="AI9">
        <v>60</v>
      </c>
      <c r="AK9" s="9">
        <v>36.65</v>
      </c>
      <c r="AL9" s="9">
        <v>1.4</v>
      </c>
      <c r="AM9" s="11">
        <v>1.8325000000000004E-2</v>
      </c>
      <c r="AN9" s="12">
        <v>3.1739831048699679E-2</v>
      </c>
      <c r="AQ9">
        <v>60</v>
      </c>
      <c r="AS9" s="9">
        <v>40.51</v>
      </c>
      <c r="AT9" s="9">
        <v>1.4</v>
      </c>
      <c r="AU9" s="11">
        <v>2.0255000000000002E-2</v>
      </c>
      <c r="AV9" s="12">
        <v>3.5082689107307607E-2</v>
      </c>
      <c r="AY9">
        <v>60</v>
      </c>
      <c r="BA9" s="9">
        <v>78.739999999999995</v>
      </c>
      <c r="BB9" s="9">
        <v>1.4</v>
      </c>
      <c r="BC9" s="11">
        <v>3.9370000000000002E-2</v>
      </c>
      <c r="BD9" s="12">
        <v>6.8190840293986685E-2</v>
      </c>
      <c r="BG9">
        <v>60</v>
      </c>
      <c r="BI9" s="9">
        <v>80.61</v>
      </c>
      <c r="BJ9" s="9">
        <v>1.4</v>
      </c>
      <c r="BK9" s="11">
        <v>4.0305000000000007E-2</v>
      </c>
      <c r="BL9" s="12">
        <v>6.9810307799063595E-2</v>
      </c>
      <c r="BO9">
        <v>60</v>
      </c>
      <c r="BQ9" s="9">
        <v>12.11</v>
      </c>
      <c r="BR9" s="9">
        <v>1.4</v>
      </c>
      <c r="BS9" s="11">
        <v>6.0550000000000014E-3</v>
      </c>
      <c r="BT9" s="12">
        <v>1.048756763982955E-2</v>
      </c>
      <c r="BW9">
        <v>60</v>
      </c>
      <c r="BY9" s="10">
        <v>24.21</v>
      </c>
      <c r="BZ9" s="10">
        <v>1.4</v>
      </c>
      <c r="CA9" s="11">
        <v>1.2105000000000005E-2</v>
      </c>
      <c r="CB9" s="12">
        <v>2.096647502562126E-2</v>
      </c>
    </row>
    <row r="10" spans="1:80" x14ac:dyDescent="0.3">
      <c r="C10">
        <v>75</v>
      </c>
      <c r="E10" s="8">
        <v>2.17</v>
      </c>
      <c r="F10" s="8">
        <v>6.4000000000000001E-2</v>
      </c>
      <c r="G10" s="11">
        <v>5.6163732787246998E-4</v>
      </c>
      <c r="H10" s="12">
        <v>2.0960590430472801E-3</v>
      </c>
      <c r="K10">
        <v>75</v>
      </c>
      <c r="M10" s="9">
        <v>75.03</v>
      </c>
      <c r="N10" s="9">
        <v>1.4</v>
      </c>
      <c r="O10" s="11">
        <v>1.9419192954042132E-2</v>
      </c>
      <c r="P10" s="12">
        <v>7.2473414746468789E-2</v>
      </c>
      <c r="S10">
        <v>75</v>
      </c>
      <c r="U10" s="9">
        <v>78.45</v>
      </c>
      <c r="V10" s="9">
        <v>1.4</v>
      </c>
      <c r="W10" s="11">
        <v>2.0304354088292755E-2</v>
      </c>
      <c r="X10" s="12">
        <v>7.5776881072377414E-2</v>
      </c>
      <c r="AA10">
        <v>75</v>
      </c>
      <c r="AC10" s="9">
        <v>42.23</v>
      </c>
      <c r="AD10" s="9">
        <v>1.4</v>
      </c>
      <c r="AE10" s="11">
        <v>1.092992827467945E-2</v>
      </c>
      <c r="AF10" s="12">
        <v>4.0791047644187353E-2</v>
      </c>
      <c r="AI10">
        <v>75</v>
      </c>
      <c r="AK10" s="8">
        <v>2.157</v>
      </c>
      <c r="AL10" s="8">
        <v>6.4000000000000001E-2</v>
      </c>
      <c r="AM10" s="11">
        <v>5.5827268028613727E-4</v>
      </c>
      <c r="AN10" s="12">
        <v>2.0835020073055204E-3</v>
      </c>
      <c r="AQ10">
        <v>75</v>
      </c>
      <c r="AS10" s="9">
        <v>44.57</v>
      </c>
      <c r="AT10" s="9">
        <v>1.4</v>
      </c>
      <c r="AU10" s="11">
        <v>1.1535564840219349E-2</v>
      </c>
      <c r="AV10" s="12">
        <v>4.3051314077703774E-2</v>
      </c>
      <c r="AY10">
        <v>75</v>
      </c>
      <c r="BA10" s="9">
        <v>77</v>
      </c>
      <c r="BB10" s="9">
        <v>1.4</v>
      </c>
      <c r="BC10" s="11">
        <v>1.9929066472894098E-2</v>
      </c>
      <c r="BD10" s="12">
        <v>7.4376288624258255E-2</v>
      </c>
      <c r="BG10">
        <v>75</v>
      </c>
      <c r="BI10" s="9">
        <v>63.45</v>
      </c>
      <c r="BJ10" s="9">
        <v>1.4</v>
      </c>
      <c r="BK10" s="11">
        <v>1.6422068411754944E-2</v>
      </c>
      <c r="BL10" s="12">
        <v>6.1287993678041393E-2</v>
      </c>
      <c r="BO10">
        <v>75</v>
      </c>
      <c r="BQ10" s="8">
        <v>3.2000000000000001E-2</v>
      </c>
      <c r="BR10" s="8">
        <v>6.4000000000000001E-2</v>
      </c>
      <c r="BS10" s="11">
        <v>8.2822094432806641E-6</v>
      </c>
      <c r="BT10" s="12">
        <v>3.0909626441250183E-5</v>
      </c>
      <c r="BW10">
        <v>75</v>
      </c>
      <c r="BY10" s="8">
        <v>0.33300000000000002</v>
      </c>
      <c r="BZ10" s="8">
        <v>6.4000000000000001E-2</v>
      </c>
      <c r="CA10" s="11">
        <v>8.6186742019139415E-5</v>
      </c>
      <c r="CB10" s="12">
        <v>3.2165330015425977E-4</v>
      </c>
    </row>
    <row r="11" spans="1:80" x14ac:dyDescent="0.3">
      <c r="C11">
        <v>90</v>
      </c>
      <c r="E11" s="8">
        <v>0.378</v>
      </c>
      <c r="F11" s="8">
        <v>6.4000000000000001E-2</v>
      </c>
      <c r="G11" s="11">
        <v>2.3155305797772919E-20</v>
      </c>
      <c r="H11" s="12">
        <v>3.7800000000000003E-4</v>
      </c>
      <c r="K11">
        <v>90</v>
      </c>
      <c r="M11" s="9">
        <v>41.63</v>
      </c>
      <c r="N11" s="9">
        <v>1.4</v>
      </c>
      <c r="O11" s="11">
        <v>2.5501465088922925E-18</v>
      </c>
      <c r="P11" s="12">
        <v>4.163E-2</v>
      </c>
      <c r="S11">
        <v>90</v>
      </c>
      <c r="U11" s="9">
        <v>75.650000000000006</v>
      </c>
      <c r="V11" s="9">
        <v>1.4</v>
      </c>
      <c r="W11" s="11">
        <v>4.6341240306918558E-18</v>
      </c>
      <c r="X11" s="12">
        <v>7.5650000000000009E-2</v>
      </c>
      <c r="AA11">
        <v>90</v>
      </c>
      <c r="AC11" s="9">
        <v>59.11</v>
      </c>
      <c r="AD11" s="9">
        <v>1.4</v>
      </c>
      <c r="AE11" s="11">
        <v>3.6209262584824268E-18</v>
      </c>
      <c r="AF11" s="12">
        <v>5.9110000000000003E-2</v>
      </c>
      <c r="AI11">
        <v>90</v>
      </c>
      <c r="AK11" s="8">
        <v>0.33300000000000002</v>
      </c>
      <c r="AL11" s="8">
        <v>6.4000000000000001E-2</v>
      </c>
      <c r="AM11" s="11">
        <v>2.0398721774228524E-20</v>
      </c>
      <c r="AN11" s="12">
        <v>3.3300000000000002E-4</v>
      </c>
      <c r="AQ11">
        <v>90</v>
      </c>
      <c r="AS11" s="9">
        <v>69.52</v>
      </c>
      <c r="AT11" s="9">
        <v>1.4</v>
      </c>
      <c r="AU11" s="11">
        <v>4.2586160292623628E-18</v>
      </c>
      <c r="AV11" s="12">
        <v>6.9519999999999998E-2</v>
      </c>
      <c r="AY11">
        <v>90</v>
      </c>
      <c r="BA11" s="9">
        <v>73.95</v>
      </c>
      <c r="BB11" s="9">
        <v>1.4</v>
      </c>
      <c r="BC11" s="11">
        <v>4.5299864120246227E-18</v>
      </c>
      <c r="BD11" s="12">
        <v>7.3950000000000002E-2</v>
      </c>
      <c r="BG11">
        <v>90</v>
      </c>
      <c r="BI11" s="9">
        <v>40.36</v>
      </c>
      <c r="BJ11" s="9">
        <v>1.4</v>
      </c>
      <c r="BK11" s="11">
        <v>2.4723495820055952E-18</v>
      </c>
      <c r="BL11" s="12">
        <v>4.036E-2</v>
      </c>
      <c r="BO11">
        <v>90</v>
      </c>
      <c r="BQ11" s="8">
        <v>7.6999999999999999E-2</v>
      </c>
      <c r="BR11" s="8">
        <v>6.4000000000000001E-2</v>
      </c>
      <c r="BS11" s="11">
        <v>4.7168215513981873E-21</v>
      </c>
      <c r="BT11" s="12">
        <v>7.7000000000000001E-5</v>
      </c>
      <c r="BW11">
        <v>90</v>
      </c>
      <c r="BY11" s="8">
        <v>0.09</v>
      </c>
      <c r="BZ11" s="8">
        <v>6.4000000000000001E-2</v>
      </c>
      <c r="CA11" s="11">
        <v>5.5131680470887892E-21</v>
      </c>
      <c r="CB11" s="12">
        <v>8.9999999999999992E-5</v>
      </c>
    </row>
    <row r="12" spans="1:80" x14ac:dyDescent="0.3">
      <c r="C12">
        <v>105</v>
      </c>
      <c r="E12" s="9">
        <v>11.19</v>
      </c>
      <c r="F12" s="9">
        <v>1.4</v>
      </c>
      <c r="G12" s="11">
        <v>-2.8961851146972082E-3</v>
      </c>
      <c r="H12" s="12">
        <v>1.0808709996174675E-2</v>
      </c>
      <c r="K12">
        <v>105</v>
      </c>
      <c r="M12" s="9">
        <v>38.090000000000003</v>
      </c>
      <c r="N12" s="9">
        <v>1.4</v>
      </c>
      <c r="O12" s="11">
        <v>-9.8584174279550199E-3</v>
      </c>
      <c r="P12" s="12">
        <v>3.6792114723350616E-2</v>
      </c>
      <c r="S12">
        <v>105</v>
      </c>
      <c r="U12" s="9">
        <v>71.12</v>
      </c>
      <c r="V12" s="9">
        <v>1.4</v>
      </c>
      <c r="W12" s="11">
        <v>-1.8407210487691283E-2</v>
      </c>
      <c r="X12" s="12">
        <v>6.8696644765678536E-2</v>
      </c>
      <c r="AA12">
        <v>105</v>
      </c>
      <c r="AC12" s="9">
        <v>77.150000000000006</v>
      </c>
      <c r="AD12" s="9">
        <v>1.4</v>
      </c>
      <c r="AE12" s="11">
        <v>-1.9967889329659486E-2</v>
      </c>
      <c r="AF12" s="12">
        <v>7.4521177498201627E-2</v>
      </c>
      <c r="AI12">
        <v>105</v>
      </c>
      <c r="AK12" s="8">
        <v>7.375</v>
      </c>
      <c r="AL12" s="8">
        <v>6.4000000000000001E-2</v>
      </c>
      <c r="AM12" s="11">
        <v>-1.9087904576310913E-3</v>
      </c>
      <c r="AN12" s="12">
        <v>7.1237029688818784E-3</v>
      </c>
      <c r="AQ12">
        <v>105</v>
      </c>
      <c r="AS12" s="9">
        <v>80.430000000000007</v>
      </c>
      <c r="AT12" s="9">
        <v>1.4</v>
      </c>
      <c r="AU12" s="11">
        <v>-2.0816815797595752E-2</v>
      </c>
      <c r="AV12" s="12">
        <v>7.7689414208429772E-2</v>
      </c>
      <c r="AY12">
        <v>105</v>
      </c>
      <c r="BA12" s="9">
        <v>71.739999999999995</v>
      </c>
      <c r="BB12" s="9">
        <v>1.4</v>
      </c>
      <c r="BC12" s="11">
        <v>-1.8567678295654845E-2</v>
      </c>
      <c r="BD12" s="12">
        <v>6.9295518777977766E-2</v>
      </c>
      <c r="BG12">
        <v>105</v>
      </c>
      <c r="BI12" s="9">
        <v>35.51</v>
      </c>
      <c r="BJ12" s="9">
        <v>1.4</v>
      </c>
      <c r="BK12" s="11">
        <v>-9.1906642915905151E-3</v>
      </c>
      <c r="BL12" s="12">
        <v>3.4300026091524813E-2</v>
      </c>
      <c r="BO12">
        <v>105</v>
      </c>
      <c r="BQ12" s="9">
        <v>14.71</v>
      </c>
      <c r="BR12" s="9">
        <v>1.4</v>
      </c>
      <c r="BS12" s="11">
        <v>-3.8072281534580819E-3</v>
      </c>
      <c r="BT12" s="12">
        <v>1.4208768904712196E-2</v>
      </c>
      <c r="BW12">
        <v>105</v>
      </c>
      <c r="BY12" s="8">
        <v>8.6020000000000003</v>
      </c>
      <c r="BZ12" s="8">
        <v>6.4000000000000001E-2</v>
      </c>
      <c r="CA12" s="11">
        <v>-2.2263614259718846E-3</v>
      </c>
      <c r="CB12" s="12">
        <v>8.308893957738565E-3</v>
      </c>
    </row>
    <row r="13" spans="1:80" x14ac:dyDescent="0.3">
      <c r="C13">
        <v>120</v>
      </c>
      <c r="E13" s="9">
        <v>41.47</v>
      </c>
      <c r="F13" s="9">
        <v>1.4</v>
      </c>
      <c r="G13" s="11">
        <v>-2.073499999999999E-2</v>
      </c>
      <c r="H13" s="12">
        <v>3.5914073494940676E-2</v>
      </c>
      <c r="K13">
        <v>120</v>
      </c>
      <c r="M13" s="9">
        <v>37.21</v>
      </c>
      <c r="N13" s="9">
        <v>1.4</v>
      </c>
      <c r="O13" s="11">
        <v>-1.8604999999999993E-2</v>
      </c>
      <c r="P13" s="12">
        <v>3.2224805274818961E-2</v>
      </c>
      <c r="S13">
        <v>120</v>
      </c>
      <c r="U13" s="9">
        <v>69.34</v>
      </c>
      <c r="V13" s="9">
        <v>1.4</v>
      </c>
      <c r="W13" s="11">
        <v>-3.4669999999999986E-2</v>
      </c>
      <c r="X13" s="12">
        <v>6.0050201498412982E-2</v>
      </c>
      <c r="AA13">
        <v>120</v>
      </c>
      <c r="AC13" s="9">
        <v>82.82</v>
      </c>
      <c r="AD13" s="9">
        <v>1.4</v>
      </c>
      <c r="AE13" s="11">
        <v>-4.1409999999999975E-2</v>
      </c>
      <c r="AF13" s="12">
        <v>7.1724223941427204E-2</v>
      </c>
      <c r="AI13">
        <v>120</v>
      </c>
      <c r="AK13" s="9">
        <v>40.299999999999997</v>
      </c>
      <c r="AL13" s="9">
        <v>1.4</v>
      </c>
      <c r="AM13" s="11">
        <v>-2.0149999999999987E-2</v>
      </c>
      <c r="AN13" s="12">
        <v>3.4900823772512878E-2</v>
      </c>
      <c r="AQ13">
        <v>120</v>
      </c>
      <c r="AS13" s="9">
        <v>92.77</v>
      </c>
      <c r="AT13" s="9">
        <v>1.4</v>
      </c>
      <c r="AU13" s="11">
        <v>-4.6384999999999975E-2</v>
      </c>
      <c r="AV13" s="12">
        <v>8.0341176709082376E-2</v>
      </c>
      <c r="AY13">
        <v>120</v>
      </c>
      <c r="BA13" s="9">
        <v>71.459999999999994</v>
      </c>
      <c r="BB13" s="9">
        <v>1.4</v>
      </c>
      <c r="BC13" s="11">
        <v>-3.5729999999999984E-2</v>
      </c>
      <c r="BD13" s="12">
        <v>6.1886175354435989E-2</v>
      </c>
      <c r="BG13">
        <v>120</v>
      </c>
      <c r="BI13" s="9">
        <v>36.979999999999997</v>
      </c>
      <c r="BJ13" s="9">
        <v>1.4</v>
      </c>
      <c r="BK13" s="11">
        <v>-1.8489999999999993E-2</v>
      </c>
      <c r="BL13" s="12">
        <v>3.2025619431948545E-2</v>
      </c>
      <c r="BO13">
        <v>120</v>
      </c>
      <c r="BQ13" s="9">
        <v>50.17</v>
      </c>
      <c r="BR13" s="9">
        <v>1.4</v>
      </c>
      <c r="BS13" s="11">
        <v>-2.5084999999999989E-2</v>
      </c>
      <c r="BT13" s="12">
        <v>4.3448494507865289E-2</v>
      </c>
      <c r="BW13">
        <v>120</v>
      </c>
      <c r="BY13" s="10">
        <v>41.73</v>
      </c>
      <c r="BZ13" s="10">
        <v>1.4</v>
      </c>
      <c r="CA13" s="11">
        <v>-2.0864999999999988E-2</v>
      </c>
      <c r="CB13" s="12">
        <v>3.6139240099924627E-2</v>
      </c>
    </row>
    <row r="14" spans="1:80" x14ac:dyDescent="0.3">
      <c r="C14">
        <v>135</v>
      </c>
      <c r="E14" s="9">
        <v>81.08</v>
      </c>
      <c r="F14" s="9">
        <v>1.4</v>
      </c>
      <c r="G14" s="11">
        <v>-5.7332217818605265E-2</v>
      </c>
      <c r="H14" s="12">
        <v>5.7332217818605279E-2</v>
      </c>
      <c r="K14">
        <v>135</v>
      </c>
      <c r="M14" s="9">
        <v>41.11</v>
      </c>
      <c r="N14" s="9">
        <v>1.4</v>
      </c>
      <c r="O14" s="11">
        <v>-2.9069159774578968E-2</v>
      </c>
      <c r="P14" s="12">
        <v>2.9069159774578971E-2</v>
      </c>
      <c r="S14">
        <v>135</v>
      </c>
      <c r="U14" s="9">
        <v>74.02</v>
      </c>
      <c r="V14" s="9">
        <v>1.4</v>
      </c>
      <c r="W14" s="11">
        <v>-5.2340043943428248E-2</v>
      </c>
      <c r="X14" s="12">
        <v>5.2340043943428255E-2</v>
      </c>
      <c r="AA14">
        <v>135</v>
      </c>
      <c r="AC14" s="3">
        <v>103.7</v>
      </c>
      <c r="AD14" s="3">
        <v>2.6</v>
      </c>
      <c r="AE14" s="11">
        <v>-7.3326973209044966E-2</v>
      </c>
      <c r="AF14" s="12">
        <v>7.3326973209044979E-2</v>
      </c>
      <c r="AI14">
        <v>135</v>
      </c>
      <c r="AK14" s="9">
        <v>80.180000000000007</v>
      </c>
      <c r="AL14" s="9">
        <v>1.4</v>
      </c>
      <c r="AM14" s="11">
        <v>-5.669582171553738E-2</v>
      </c>
      <c r="AN14" s="12">
        <v>5.6695821715537387E-2</v>
      </c>
      <c r="AQ14">
        <v>135</v>
      </c>
      <c r="AS14" s="3">
        <v>111.4</v>
      </c>
      <c r="AT14" s="3">
        <v>2.6</v>
      </c>
      <c r="AU14" s="11">
        <v>-7.8771695424181387E-2</v>
      </c>
      <c r="AV14" s="12">
        <v>7.8771695424181401E-2</v>
      </c>
      <c r="AY14">
        <v>135</v>
      </c>
      <c r="BA14" s="9">
        <v>74.25</v>
      </c>
      <c r="BB14" s="9">
        <v>1.4</v>
      </c>
      <c r="BC14" s="11">
        <v>-5.2502678503101148E-2</v>
      </c>
      <c r="BD14" s="12">
        <v>5.2502678503101155E-2</v>
      </c>
      <c r="BG14">
        <v>135</v>
      </c>
      <c r="BI14" s="9">
        <v>40.96</v>
      </c>
      <c r="BJ14" s="9">
        <v>1.4</v>
      </c>
      <c r="BK14" s="11">
        <v>-2.8963093757400988E-2</v>
      </c>
      <c r="BL14" s="12">
        <v>2.8963093757400991E-2</v>
      </c>
      <c r="BO14">
        <v>135</v>
      </c>
      <c r="BQ14" s="9">
        <v>90.4</v>
      </c>
      <c r="BR14" s="9">
        <v>1.4</v>
      </c>
      <c r="BS14" s="11">
        <v>-6.39224530192639E-2</v>
      </c>
      <c r="BT14" s="12">
        <v>6.39224530192639E-2</v>
      </c>
      <c r="BW14">
        <v>135</v>
      </c>
      <c r="BY14" s="10">
        <v>84.63</v>
      </c>
      <c r="BZ14" s="10">
        <v>1.4</v>
      </c>
      <c r="CA14" s="11">
        <v>-5.9842446891817509E-2</v>
      </c>
      <c r="CB14" s="12">
        <v>5.9842446891817516E-2</v>
      </c>
    </row>
    <row r="15" spans="1:80" x14ac:dyDescent="0.3">
      <c r="C15">
        <v>150</v>
      </c>
      <c r="E15" s="3">
        <v>121</v>
      </c>
      <c r="F15" s="3">
        <v>2.6</v>
      </c>
      <c r="G15" s="11">
        <v>-0.10478907385791708</v>
      </c>
      <c r="H15" s="12">
        <v>6.0499999999999991E-2</v>
      </c>
      <c r="K15">
        <v>150</v>
      </c>
      <c r="M15" s="9">
        <v>69.13</v>
      </c>
      <c r="N15" s="9">
        <v>1.4</v>
      </c>
      <c r="O15" s="11">
        <v>-5.9868336163618245E-2</v>
      </c>
      <c r="P15" s="12">
        <v>3.4564999999999992E-2</v>
      </c>
      <c r="S15">
        <v>150</v>
      </c>
      <c r="U15" s="9">
        <v>78.48</v>
      </c>
      <c r="V15" s="9">
        <v>1.4</v>
      </c>
      <c r="W15" s="11">
        <v>-6.7965673689002762E-2</v>
      </c>
      <c r="X15" s="12">
        <v>3.9239999999999997E-2</v>
      </c>
      <c r="AA15">
        <v>150</v>
      </c>
      <c r="AC15" s="3">
        <v>112.6</v>
      </c>
      <c r="AD15" s="3">
        <v>2.6</v>
      </c>
      <c r="AE15" s="11">
        <v>-9.7514460466127786E-2</v>
      </c>
      <c r="AF15" s="12">
        <v>5.6299999999999989E-2</v>
      </c>
      <c r="AI15">
        <v>150</v>
      </c>
      <c r="AK15" s="3">
        <v>119.4</v>
      </c>
      <c r="AL15" s="3">
        <v>2.6</v>
      </c>
      <c r="AM15" s="11">
        <v>-0.10340343321186199</v>
      </c>
      <c r="AN15" s="12">
        <v>5.9699999999999996E-2</v>
      </c>
      <c r="AQ15">
        <v>150</v>
      </c>
      <c r="AS15" s="3">
        <v>105.3</v>
      </c>
      <c r="AT15" s="3">
        <v>2.6</v>
      </c>
      <c r="AU15" s="11">
        <v>-9.119247501850139E-2</v>
      </c>
      <c r="AV15" s="12">
        <v>5.2649999999999988E-2</v>
      </c>
      <c r="AY15">
        <v>150</v>
      </c>
      <c r="BA15" s="9">
        <v>76.900000000000006</v>
      </c>
      <c r="BB15" s="9">
        <v>1.4</v>
      </c>
      <c r="BC15" s="11">
        <v>-6.659735355102335E-2</v>
      </c>
      <c r="BD15" s="12">
        <v>3.8449999999999998E-2</v>
      </c>
      <c r="BG15">
        <v>150</v>
      </c>
      <c r="BI15" s="9">
        <v>68.22</v>
      </c>
      <c r="BJ15" s="9">
        <v>1.4</v>
      </c>
      <c r="BK15" s="11">
        <v>-5.9080253046174411E-2</v>
      </c>
      <c r="BL15" s="12">
        <v>3.4109999999999994E-2</v>
      </c>
      <c r="BO15">
        <v>150</v>
      </c>
      <c r="BQ15" s="3">
        <v>124.2</v>
      </c>
      <c r="BR15" s="3">
        <v>2.6</v>
      </c>
      <c r="BS15" s="11">
        <v>-0.10756035515002729</v>
      </c>
      <c r="BT15" s="12">
        <v>6.2099999999999995E-2</v>
      </c>
      <c r="BW15">
        <v>150</v>
      </c>
      <c r="BY15" s="3">
        <v>121.4</v>
      </c>
      <c r="BZ15" s="3">
        <v>2.6</v>
      </c>
      <c r="CA15" s="11">
        <v>-0.10513548401943086</v>
      </c>
      <c r="CB15" s="12">
        <v>6.0699999999999997E-2</v>
      </c>
    </row>
    <row r="16" spans="1:80" x14ac:dyDescent="0.3">
      <c r="C16">
        <v>165</v>
      </c>
      <c r="E16" s="3">
        <v>154.19999999999999</v>
      </c>
      <c r="F16" s="3">
        <v>2.6</v>
      </c>
      <c r="G16" s="11">
        <v>-0.1489457624137743</v>
      </c>
      <c r="H16" s="12">
        <v>3.9909896754808737E-2</v>
      </c>
      <c r="K16">
        <v>165</v>
      </c>
      <c r="M16" s="9">
        <v>82.11</v>
      </c>
      <c r="N16" s="9">
        <v>1.4</v>
      </c>
      <c r="O16" s="11">
        <v>-7.9312169596595386E-2</v>
      </c>
      <c r="P16" s="12">
        <v>2.1251631793368E-2</v>
      </c>
      <c r="S16">
        <v>165</v>
      </c>
      <c r="U16" s="9">
        <v>79.989999999999995</v>
      </c>
      <c r="V16" s="9">
        <v>1.4</v>
      </c>
      <c r="W16" s="11">
        <v>-7.7264406844862563E-2</v>
      </c>
      <c r="X16" s="12">
        <v>2.0702935417750656E-2</v>
      </c>
      <c r="AA16">
        <v>165</v>
      </c>
      <c r="AC16" s="3">
        <v>107.1</v>
      </c>
      <c r="AD16" s="3">
        <v>2.6</v>
      </c>
      <c r="AE16" s="11">
        <v>-0.10345065599555921</v>
      </c>
      <c r="AF16" s="12">
        <v>2.7719519730480001E-2</v>
      </c>
      <c r="AI16">
        <v>165</v>
      </c>
      <c r="AK16" s="3">
        <v>145.5</v>
      </c>
      <c r="AL16" s="3">
        <v>2.6</v>
      </c>
      <c r="AM16" s="11">
        <v>-0.1405422077250594</v>
      </c>
      <c r="AN16" s="12">
        <v>3.7658171062416805E-2</v>
      </c>
      <c r="AQ16">
        <v>165</v>
      </c>
      <c r="AS16" s="9">
        <v>92.5</v>
      </c>
      <c r="AT16" s="9">
        <v>1.4</v>
      </c>
      <c r="AU16" s="11">
        <v>-8.9348138931738805E-2</v>
      </c>
      <c r="AV16" s="12">
        <v>2.3940761671983193E-2</v>
      </c>
      <c r="AY16">
        <v>165</v>
      </c>
      <c r="BA16" s="9">
        <v>78.89</v>
      </c>
      <c r="BB16" s="9">
        <v>1.4</v>
      </c>
      <c r="BC16" s="11">
        <v>-7.6201888435944595E-2</v>
      </c>
      <c r="BD16" s="12">
        <v>2.0418234468137883E-2</v>
      </c>
      <c r="BG16">
        <v>165</v>
      </c>
      <c r="BI16" s="9">
        <v>83.33</v>
      </c>
      <c r="BJ16" s="9">
        <v>1.4</v>
      </c>
      <c r="BK16" s="11">
        <v>-8.0490599104668048E-2</v>
      </c>
      <c r="BL16" s="12">
        <v>2.1567391028393078E-2</v>
      </c>
      <c r="BO16">
        <v>165</v>
      </c>
      <c r="BQ16" s="3">
        <v>155.30000000000001</v>
      </c>
      <c r="BR16" s="3">
        <v>2.6</v>
      </c>
      <c r="BS16" s="11">
        <v>-0.15000828082269232</v>
      </c>
      <c r="BT16" s="12">
        <v>4.019459770442152E-2</v>
      </c>
      <c r="BW16">
        <v>165</v>
      </c>
      <c r="BY16" s="3">
        <v>153.6</v>
      </c>
      <c r="BZ16" s="3">
        <v>2.6</v>
      </c>
      <c r="CA16" s="11">
        <v>-0.14836620691800087</v>
      </c>
      <c r="CB16" s="12">
        <v>3.9754605327747224E-2</v>
      </c>
    </row>
    <row r="17" spans="2:80" x14ac:dyDescent="0.3">
      <c r="C17">
        <v>180</v>
      </c>
      <c r="E17" s="3">
        <v>160</v>
      </c>
      <c r="F17" s="3">
        <v>2.6</v>
      </c>
      <c r="G17" s="11">
        <v>-0.16</v>
      </c>
      <c r="H17" s="12">
        <v>1.9602375278537921E-17</v>
      </c>
      <c r="K17">
        <v>180</v>
      </c>
      <c r="M17" s="3">
        <v>116.9</v>
      </c>
      <c r="N17" s="3">
        <v>2.6</v>
      </c>
      <c r="O17" s="11">
        <v>-0.1169</v>
      </c>
      <c r="P17" s="12">
        <v>1.4321985437881769E-17</v>
      </c>
      <c r="S17">
        <v>180</v>
      </c>
      <c r="U17" s="9">
        <v>82.2</v>
      </c>
      <c r="V17" s="9">
        <v>1.4</v>
      </c>
      <c r="W17" s="11">
        <v>-8.2200000000000009E-2</v>
      </c>
      <c r="X17" s="12">
        <v>1.0070720299348858E-17</v>
      </c>
      <c r="AA17">
        <v>180</v>
      </c>
      <c r="AC17" s="9">
        <v>86.89</v>
      </c>
      <c r="AD17" s="9">
        <v>1.4</v>
      </c>
      <c r="AE17" s="11">
        <v>-8.6889999999999995E-2</v>
      </c>
      <c r="AF17" s="12">
        <v>1.0645314924700999E-17</v>
      </c>
      <c r="AI17">
        <v>180</v>
      </c>
      <c r="AK17" s="3">
        <v>153.1</v>
      </c>
      <c r="AL17" s="3">
        <v>2.6</v>
      </c>
      <c r="AM17" s="11">
        <v>-0.15309999999999999</v>
      </c>
      <c r="AN17" s="12">
        <v>1.8757022844650971E-17</v>
      </c>
      <c r="AQ17">
        <v>180</v>
      </c>
      <c r="AS17" s="9">
        <v>80.08</v>
      </c>
      <c r="AT17" s="9">
        <v>1.4</v>
      </c>
      <c r="AU17" s="11">
        <v>-8.0079999999999998E-2</v>
      </c>
      <c r="AV17" s="12">
        <v>9.8109888269082284E-18</v>
      </c>
      <c r="AY17">
        <v>180</v>
      </c>
      <c r="BA17" s="9">
        <v>79.790000000000006</v>
      </c>
      <c r="BB17" s="9">
        <v>1.4</v>
      </c>
      <c r="BC17" s="11">
        <v>-7.979E-2</v>
      </c>
      <c r="BD17" s="12">
        <v>9.7754595217158792E-18</v>
      </c>
      <c r="BG17">
        <v>180</v>
      </c>
      <c r="BI17" s="3">
        <v>111</v>
      </c>
      <c r="BJ17" s="3">
        <v>2.6</v>
      </c>
      <c r="BK17" s="11">
        <v>-0.111</v>
      </c>
      <c r="BL17" s="12">
        <v>1.3599147849485683E-17</v>
      </c>
      <c r="BO17">
        <v>180</v>
      </c>
      <c r="BQ17" s="3">
        <v>153.9</v>
      </c>
      <c r="BR17" s="3">
        <v>2.6</v>
      </c>
      <c r="BS17" s="11">
        <v>-0.15390000000000001</v>
      </c>
      <c r="BT17" s="12">
        <v>1.8855034721043663E-17</v>
      </c>
      <c r="BW17">
        <v>180</v>
      </c>
      <c r="BY17" s="3">
        <v>157.1</v>
      </c>
      <c r="BZ17" s="3">
        <v>2.6</v>
      </c>
      <c r="CA17" s="11">
        <v>-0.15709999999999999</v>
      </c>
      <c r="CB17" s="12">
        <v>1.924708222661442E-17</v>
      </c>
    </row>
    <row r="18" spans="2:80" x14ac:dyDescent="0.3">
      <c r="C18">
        <v>195</v>
      </c>
      <c r="E18" s="3">
        <v>147.69999999999999</v>
      </c>
      <c r="F18" s="3">
        <v>2.6</v>
      </c>
      <c r="G18" s="11">
        <v>-0.14266724454289539</v>
      </c>
      <c r="H18" s="12">
        <v>-3.8227572961642323E-2</v>
      </c>
      <c r="K18">
        <v>195</v>
      </c>
      <c r="M18" s="3">
        <v>120.4</v>
      </c>
      <c r="N18" s="3">
        <v>2.6</v>
      </c>
      <c r="O18" s="11">
        <v>-0.11629746948520384</v>
      </c>
      <c r="P18" s="12">
        <v>-3.1161813030343505E-2</v>
      </c>
      <c r="S18">
        <v>195</v>
      </c>
      <c r="U18" s="9">
        <v>81.39</v>
      </c>
      <c r="V18" s="9">
        <v>1.4</v>
      </c>
      <c r="W18" s="11">
        <v>-7.8616703001667274E-2</v>
      </c>
      <c r="X18" s="12">
        <v>-2.1065282080894168E-2</v>
      </c>
      <c r="AA18">
        <v>195</v>
      </c>
      <c r="AC18" s="9">
        <v>79.150000000000006</v>
      </c>
      <c r="AD18" s="9">
        <v>1.4</v>
      </c>
      <c r="AE18" s="11">
        <v>-7.6453029150779769E-2</v>
      </c>
      <c r="AF18" s="12">
        <v>-2.0485527419864525E-2</v>
      </c>
      <c r="AI18">
        <v>195</v>
      </c>
      <c r="AK18" s="3">
        <v>127.2</v>
      </c>
      <c r="AL18" s="3">
        <v>2.6</v>
      </c>
      <c r="AM18" s="11">
        <v>-0.1228657651039695</v>
      </c>
      <c r="AN18" s="12">
        <v>-3.2921782537040645E-2</v>
      </c>
      <c r="AQ18">
        <v>195</v>
      </c>
      <c r="AS18" s="9">
        <v>66.27</v>
      </c>
      <c r="AT18" s="9">
        <v>1.4</v>
      </c>
      <c r="AU18" s="11">
        <v>-6.4011904508176551E-2</v>
      </c>
      <c r="AV18" s="12">
        <v>-1.7151938118944051E-2</v>
      </c>
      <c r="AY18">
        <v>195</v>
      </c>
      <c r="BA18" s="9">
        <v>79.78</v>
      </c>
      <c r="BB18" s="9">
        <v>1.4</v>
      </c>
      <c r="BC18" s="11">
        <v>-7.7061562421341878E-2</v>
      </c>
      <c r="BD18" s="12">
        <v>-2.0648583418279111E-2</v>
      </c>
      <c r="BG18">
        <v>195</v>
      </c>
      <c r="BI18" s="3">
        <v>118.7</v>
      </c>
      <c r="BJ18" s="3">
        <v>2.6</v>
      </c>
      <c r="BK18" s="11">
        <v>-0.11465539558051241</v>
      </c>
      <c r="BL18" s="12">
        <v>-3.072182065366922E-2</v>
      </c>
      <c r="BO18">
        <v>195</v>
      </c>
      <c r="BQ18" s="3">
        <v>121.4</v>
      </c>
      <c r="BR18" s="3">
        <v>2.6</v>
      </c>
      <c r="BS18" s="11">
        <v>-0.11726339531149291</v>
      </c>
      <c r="BT18" s="12">
        <v>-3.1420632075446028E-2</v>
      </c>
      <c r="BW18">
        <v>195</v>
      </c>
      <c r="BY18" s="3">
        <v>131.19999999999999</v>
      </c>
      <c r="BZ18" s="3">
        <v>2.6</v>
      </c>
      <c r="CA18" s="11">
        <v>-0.12672946840912575</v>
      </c>
      <c r="CB18" s="12">
        <v>-3.3957058717450722E-2</v>
      </c>
    </row>
    <row r="19" spans="2:80" x14ac:dyDescent="0.3">
      <c r="C19">
        <v>210</v>
      </c>
      <c r="E19" s="3">
        <v>116.2</v>
      </c>
      <c r="F19" s="3">
        <v>2.6</v>
      </c>
      <c r="G19" s="11">
        <v>-0.10063215191975176</v>
      </c>
      <c r="H19" s="12">
        <v>-5.8100000000000013E-2</v>
      </c>
      <c r="K19">
        <v>210</v>
      </c>
      <c r="M19" s="3">
        <v>119.2</v>
      </c>
      <c r="N19" s="3">
        <v>2.6</v>
      </c>
      <c r="O19" s="11">
        <v>-0.10323022813110508</v>
      </c>
      <c r="P19" s="12">
        <v>-5.9600000000000014E-2</v>
      </c>
      <c r="S19">
        <v>210</v>
      </c>
      <c r="U19" s="9">
        <v>82.37</v>
      </c>
      <c r="V19" s="9">
        <v>1.4</v>
      </c>
      <c r="W19" s="11">
        <v>-7.133451250972421E-2</v>
      </c>
      <c r="X19" s="12">
        <v>-4.1185000000000006E-2</v>
      </c>
      <c r="AA19">
        <v>210</v>
      </c>
      <c r="AC19" s="9">
        <v>64.099999999999994</v>
      </c>
      <c r="AD19" s="9">
        <v>1.4</v>
      </c>
      <c r="AE19" s="11">
        <v>-5.5512228382582504E-2</v>
      </c>
      <c r="AF19" s="12">
        <v>-3.2050000000000002E-2</v>
      </c>
      <c r="AI19">
        <v>210</v>
      </c>
      <c r="AK19" s="3">
        <v>105.2</v>
      </c>
      <c r="AL19" s="3">
        <v>2.6</v>
      </c>
      <c r="AM19" s="11">
        <v>-9.1105872478122948E-2</v>
      </c>
      <c r="AN19" s="12">
        <v>-5.2600000000000015E-2</v>
      </c>
      <c r="AQ19">
        <v>210</v>
      </c>
      <c r="AS19" s="9">
        <v>44.36</v>
      </c>
      <c r="AT19" s="9">
        <v>1.4</v>
      </c>
      <c r="AU19" s="11">
        <v>-3.8416886911877696E-2</v>
      </c>
      <c r="AV19" s="12">
        <v>-2.2180000000000002E-2</v>
      </c>
      <c r="AY19">
        <v>210</v>
      </c>
      <c r="BA19" s="9">
        <v>79.83</v>
      </c>
      <c r="BB19" s="9">
        <v>1.4</v>
      </c>
      <c r="BC19" s="11">
        <v>-6.9134807984111729E-2</v>
      </c>
      <c r="BD19" s="12">
        <v>-3.9915000000000006E-2</v>
      </c>
      <c r="BG19">
        <v>210</v>
      </c>
      <c r="BI19" s="3">
        <v>117.7</v>
      </c>
      <c r="BJ19" s="3">
        <v>2.6</v>
      </c>
      <c r="BK19" s="11">
        <v>-0.10193119002542843</v>
      </c>
      <c r="BL19" s="12">
        <v>-5.8850000000000013E-2</v>
      </c>
      <c r="BO19">
        <v>210</v>
      </c>
      <c r="BQ19" s="9">
        <v>84.81</v>
      </c>
      <c r="BR19" s="9">
        <v>1.4</v>
      </c>
      <c r="BS19" s="11">
        <v>-7.3447614494958235E-2</v>
      </c>
      <c r="BT19" s="12">
        <v>-4.2405000000000005E-2</v>
      </c>
      <c r="BW19">
        <v>210</v>
      </c>
      <c r="BY19" s="10">
        <v>96.36</v>
      </c>
      <c r="BZ19" s="10">
        <v>1.4</v>
      </c>
      <c r="CA19" s="11">
        <v>-8.34502079086685E-2</v>
      </c>
      <c r="CB19" s="12">
        <v>-4.8180000000000014E-2</v>
      </c>
    </row>
    <row r="20" spans="2:80" x14ac:dyDescent="0.3">
      <c r="C20">
        <v>225</v>
      </c>
      <c r="E20" s="9">
        <v>77.61</v>
      </c>
      <c r="F20" s="9">
        <v>1.4</v>
      </c>
      <c r="G20" s="11">
        <v>-5.4878557287887965E-2</v>
      </c>
      <c r="H20" s="12">
        <v>-5.4878557287887944E-2</v>
      </c>
      <c r="K20">
        <v>225</v>
      </c>
      <c r="M20" s="3">
        <v>117</v>
      </c>
      <c r="N20" s="3">
        <v>2.6</v>
      </c>
      <c r="O20" s="11">
        <v>-8.2731493398826086E-2</v>
      </c>
      <c r="P20" s="12">
        <v>-8.2731493398826059E-2</v>
      </c>
      <c r="S20">
        <v>225</v>
      </c>
      <c r="U20" s="9">
        <v>81.180000000000007</v>
      </c>
      <c r="V20" s="9">
        <v>1.4</v>
      </c>
      <c r="W20" s="11">
        <v>-5.7402928496723946E-2</v>
      </c>
      <c r="X20" s="12">
        <v>-5.7402928496723925E-2</v>
      </c>
      <c r="AA20">
        <v>225</v>
      </c>
      <c r="AC20" s="9">
        <v>42.44</v>
      </c>
      <c r="AD20" s="9">
        <v>1.4</v>
      </c>
      <c r="AE20" s="11">
        <v>-3.0009611793557083E-2</v>
      </c>
      <c r="AF20" s="12">
        <v>-3.0009611793557073E-2</v>
      </c>
      <c r="AI20">
        <v>225</v>
      </c>
      <c r="AK20" s="9">
        <v>69.150000000000006</v>
      </c>
      <c r="AL20" s="9">
        <v>1.4</v>
      </c>
      <c r="AM20" s="11">
        <v>-4.8896433919049777E-2</v>
      </c>
      <c r="AN20" s="12">
        <v>-4.8896433919049756E-2</v>
      </c>
      <c r="AQ20">
        <v>225</v>
      </c>
      <c r="AS20" s="9">
        <v>40.5</v>
      </c>
      <c r="AT20" s="9">
        <v>1.4</v>
      </c>
      <c r="AU20" s="11">
        <v>-2.8637824638055181E-2</v>
      </c>
      <c r="AV20" s="12">
        <v>-2.8637824638055174E-2</v>
      </c>
      <c r="AY20">
        <v>225</v>
      </c>
      <c r="BA20" s="9">
        <v>79.260000000000005</v>
      </c>
      <c r="BB20" s="9">
        <v>1.4</v>
      </c>
      <c r="BC20" s="11">
        <v>-5.6045283476845779E-2</v>
      </c>
      <c r="BD20" s="12">
        <v>-5.6045283476845759E-2</v>
      </c>
      <c r="BG20">
        <v>225</v>
      </c>
      <c r="BI20" s="9">
        <v>99.9</v>
      </c>
      <c r="BJ20" s="9">
        <v>1.4</v>
      </c>
      <c r="BK20" s="11">
        <v>-7.0639967440536119E-2</v>
      </c>
      <c r="BL20" s="12">
        <v>-7.0639967440536092E-2</v>
      </c>
      <c r="BO20">
        <v>225</v>
      </c>
      <c r="BQ20" s="9">
        <v>44.26</v>
      </c>
      <c r="BR20" s="9">
        <v>1.4</v>
      </c>
      <c r="BS20" s="11">
        <v>-3.12965461353166E-2</v>
      </c>
      <c r="BT20" s="12">
        <v>-3.1296546135316593E-2</v>
      </c>
      <c r="BW20">
        <v>225</v>
      </c>
      <c r="BY20" s="10">
        <v>55.14</v>
      </c>
      <c r="BZ20" s="10">
        <v>1.4</v>
      </c>
      <c r="CA20" s="11">
        <v>-3.898986791462624E-2</v>
      </c>
      <c r="CB20" s="12">
        <v>-3.8989867914626226E-2</v>
      </c>
    </row>
    <row r="21" spans="2:80" x14ac:dyDescent="0.3">
      <c r="C21">
        <v>240</v>
      </c>
      <c r="E21" s="9">
        <v>36.770000000000003</v>
      </c>
      <c r="F21" s="9">
        <v>1.4</v>
      </c>
      <c r="G21" s="11">
        <v>-1.8385000000000019E-2</v>
      </c>
      <c r="H21" s="12">
        <v>-3.1843754097153801E-2</v>
      </c>
      <c r="K21">
        <v>240</v>
      </c>
      <c r="M21" s="9">
        <v>83.11</v>
      </c>
      <c r="N21" s="9">
        <v>1.4</v>
      </c>
      <c r="O21" s="11">
        <v>-4.1555000000000036E-2</v>
      </c>
      <c r="P21" s="12">
        <v>-7.1975371308524674E-2</v>
      </c>
      <c r="S21">
        <v>240</v>
      </c>
      <c r="U21" s="9">
        <v>78.78</v>
      </c>
      <c r="V21" s="9">
        <v>1.4</v>
      </c>
      <c r="W21" s="11">
        <v>-3.9390000000000036E-2</v>
      </c>
      <c r="X21" s="12">
        <v>-6.8225481310138059E-2</v>
      </c>
      <c r="AA21">
        <v>240</v>
      </c>
      <c r="AC21" s="9">
        <v>40.22</v>
      </c>
      <c r="AD21" s="9">
        <v>1.4</v>
      </c>
      <c r="AE21" s="11">
        <v>-2.0110000000000017E-2</v>
      </c>
      <c r="AF21" s="12">
        <v>-3.4831541740210109E-2</v>
      </c>
      <c r="AI21">
        <v>240</v>
      </c>
      <c r="AK21" s="9">
        <v>33.67</v>
      </c>
      <c r="AL21" s="9">
        <v>1.4</v>
      </c>
      <c r="AM21" s="11">
        <v>-1.6835000000000013E-2</v>
      </c>
      <c r="AN21" s="12">
        <v>-2.9159075345422038E-2</v>
      </c>
      <c r="AQ21">
        <v>240</v>
      </c>
      <c r="AS21" s="9">
        <v>40.33</v>
      </c>
      <c r="AT21" s="9">
        <v>1.4</v>
      </c>
      <c r="AU21" s="11">
        <v>-2.0165000000000016E-2</v>
      </c>
      <c r="AV21" s="12">
        <v>-3.4926804534626398E-2</v>
      </c>
      <c r="AY21">
        <v>240</v>
      </c>
      <c r="BA21" s="9">
        <v>78.3</v>
      </c>
      <c r="BB21" s="9">
        <v>1.4</v>
      </c>
      <c r="BC21" s="11">
        <v>-3.9150000000000032E-2</v>
      </c>
      <c r="BD21" s="12">
        <v>-6.7809789116321517E-2</v>
      </c>
      <c r="BG21">
        <v>240</v>
      </c>
      <c r="BI21" s="9">
        <v>80.010000000000005</v>
      </c>
      <c r="BJ21" s="9">
        <v>1.4</v>
      </c>
      <c r="BK21" s="11">
        <v>-4.0005000000000041E-2</v>
      </c>
      <c r="BL21" s="12">
        <v>-6.9290692556792918E-2</v>
      </c>
      <c r="BO21">
        <v>240</v>
      </c>
      <c r="BQ21" s="8">
        <v>8.85</v>
      </c>
      <c r="BR21" s="8">
        <v>6.4000000000000001E-2</v>
      </c>
      <c r="BS21" s="11">
        <v>-4.4250000000000045E-3</v>
      </c>
      <c r="BT21" s="12">
        <v>-7.6643248234922797E-3</v>
      </c>
      <c r="BW21">
        <v>240</v>
      </c>
      <c r="BY21" s="10">
        <v>22.66</v>
      </c>
      <c r="BZ21" s="10">
        <v>1.4</v>
      </c>
      <c r="CA21" s="11">
        <v>-1.133000000000001E-2</v>
      </c>
      <c r="CB21" s="12">
        <v>-1.9624135649755372E-2</v>
      </c>
    </row>
    <row r="22" spans="2:80" x14ac:dyDescent="0.3">
      <c r="C22">
        <v>255</v>
      </c>
      <c r="E22" s="8">
        <v>2.669</v>
      </c>
      <c r="F22" s="8">
        <v>6.4000000000000001E-2</v>
      </c>
      <c r="G22" s="11">
        <v>-6.9078803137862757E-4</v>
      </c>
      <c r="H22" s="12">
        <v>-2.5780560303655235E-3</v>
      </c>
      <c r="K22">
        <v>255</v>
      </c>
      <c r="M22" s="9">
        <v>68.430000000000007</v>
      </c>
      <c r="N22" s="9">
        <v>1.4</v>
      </c>
      <c r="O22" s="11">
        <v>-1.7710987256365489E-2</v>
      </c>
      <c r="P22" s="12">
        <v>-6.6098304292960944E-2</v>
      </c>
      <c r="S22">
        <v>255</v>
      </c>
      <c r="U22" s="9">
        <v>77.11</v>
      </c>
      <c r="V22" s="9">
        <v>1.4</v>
      </c>
      <c r="W22" s="11">
        <v>-1.9957536567855365E-2</v>
      </c>
      <c r="X22" s="12">
        <v>-7.4482540465150057E-2</v>
      </c>
      <c r="AA22">
        <v>255</v>
      </c>
      <c r="AC22" s="9">
        <v>41.41</v>
      </c>
      <c r="AD22" s="9">
        <v>1.4</v>
      </c>
      <c r="AE22" s="11">
        <v>-1.0717696657695378E-2</v>
      </c>
      <c r="AF22" s="12">
        <v>-3.9998988466630317E-2</v>
      </c>
      <c r="AI22">
        <v>255</v>
      </c>
      <c r="AK22" s="8">
        <v>1.2929999999999999</v>
      </c>
      <c r="AL22" s="8">
        <v>6.4000000000000001E-2</v>
      </c>
      <c r="AM22" s="11">
        <v>-3.3465302531755916E-4</v>
      </c>
      <c r="AN22" s="12">
        <v>-1.2489420933917653E-3</v>
      </c>
      <c r="AQ22">
        <v>255</v>
      </c>
      <c r="AS22" s="9">
        <v>47.81</v>
      </c>
      <c r="AT22" s="9">
        <v>1.4</v>
      </c>
      <c r="AU22" s="11">
        <v>-1.2374138546351512E-2</v>
      </c>
      <c r="AV22" s="12">
        <v>-4.6180913754880364E-2</v>
      </c>
      <c r="AY22">
        <v>255</v>
      </c>
      <c r="BA22" s="9">
        <v>76.67</v>
      </c>
      <c r="BB22" s="9">
        <v>1.4</v>
      </c>
      <c r="BC22" s="11">
        <v>-1.9843656188010258E-2</v>
      </c>
      <c r="BD22" s="12">
        <v>-7.4057533101582876E-2</v>
      </c>
      <c r="BG22">
        <v>255</v>
      </c>
      <c r="BI22" s="9">
        <v>55.11</v>
      </c>
      <c r="BJ22" s="9">
        <v>1.4</v>
      </c>
      <c r="BK22" s="11">
        <v>-1.4263517575599911E-2</v>
      </c>
      <c r="BL22" s="12">
        <v>-5.3232172286790551E-2</v>
      </c>
      <c r="BO22">
        <v>255</v>
      </c>
      <c r="BQ22" s="8">
        <v>7.0000000000000007E-2</v>
      </c>
      <c r="BR22" s="8">
        <v>6.4000000000000001E-2</v>
      </c>
      <c r="BS22" s="11">
        <v>-1.8117333157176447E-5</v>
      </c>
      <c r="BT22" s="12">
        <v>-6.7614807840234791E-5</v>
      </c>
      <c r="BW22">
        <v>255</v>
      </c>
      <c r="BY22" s="8">
        <v>0.192</v>
      </c>
      <c r="BZ22" s="8">
        <v>6.4000000000000001E-2</v>
      </c>
      <c r="CA22" s="11">
        <v>-4.9693256659683964E-5</v>
      </c>
      <c r="CB22" s="12">
        <v>-1.8545775864750111E-4</v>
      </c>
    </row>
    <row r="23" spans="2:80" x14ac:dyDescent="0.3">
      <c r="C23">
        <v>270</v>
      </c>
      <c r="E23" s="8">
        <v>0.48</v>
      </c>
      <c r="F23" s="8">
        <v>6.4000000000000001E-2</v>
      </c>
      <c r="G23" s="11">
        <v>-8.8210688753420628E-20</v>
      </c>
      <c r="H23" s="12">
        <v>-4.7999999999999996E-4</v>
      </c>
      <c r="K23">
        <v>270</v>
      </c>
      <c r="M23" s="9">
        <v>41.41</v>
      </c>
      <c r="N23" s="9">
        <v>1.4</v>
      </c>
      <c r="O23" s="11">
        <v>-7.6100096276648928E-18</v>
      </c>
      <c r="P23" s="12">
        <v>-4.1409999999999995E-2</v>
      </c>
      <c r="S23">
        <v>270</v>
      </c>
      <c r="U23" s="9">
        <v>71.760000000000005</v>
      </c>
      <c r="V23" s="9">
        <v>1.4</v>
      </c>
      <c r="W23" s="11">
        <v>-1.3187497968636386E-17</v>
      </c>
      <c r="X23" s="12">
        <v>-7.1760000000000004E-2</v>
      </c>
      <c r="AA23">
        <v>270</v>
      </c>
      <c r="AC23" s="9">
        <v>53.27</v>
      </c>
      <c r="AD23" s="9">
        <v>1.4</v>
      </c>
      <c r="AE23" s="11">
        <v>-9.7895487289473292E-18</v>
      </c>
      <c r="AF23" s="12">
        <v>-5.3270000000000005E-2</v>
      </c>
      <c r="AI23">
        <v>270</v>
      </c>
      <c r="AK23" s="8">
        <v>0.21099999999999999</v>
      </c>
      <c r="AL23" s="8">
        <v>6.4000000000000001E-2</v>
      </c>
      <c r="AM23" s="11">
        <v>-3.8775948597857822E-20</v>
      </c>
      <c r="AN23" s="12">
        <v>-2.1100000000000001E-4</v>
      </c>
      <c r="AQ23">
        <v>270</v>
      </c>
      <c r="AS23" s="9">
        <v>74.239999999999995</v>
      </c>
      <c r="AT23" s="9">
        <v>1.4</v>
      </c>
      <c r="AU23" s="11">
        <v>-1.3643253193862392E-17</v>
      </c>
      <c r="AV23" s="12">
        <v>-7.424E-2</v>
      </c>
      <c r="AY23">
        <v>270</v>
      </c>
      <c r="BA23" s="9">
        <v>74.27</v>
      </c>
      <c r="BB23" s="9">
        <v>1.4</v>
      </c>
      <c r="BC23" s="11">
        <v>-1.3648766361909482E-17</v>
      </c>
      <c r="BD23" s="12">
        <v>-7.4270000000000003E-2</v>
      </c>
      <c r="BG23">
        <v>270</v>
      </c>
      <c r="BI23" s="9">
        <v>39.69</v>
      </c>
      <c r="BJ23" s="9">
        <v>1.4</v>
      </c>
      <c r="BK23" s="11">
        <v>-7.2939213262984682E-18</v>
      </c>
      <c r="BL23" s="12">
        <v>-3.9689999999999996E-2</v>
      </c>
      <c r="BO23">
        <v>270</v>
      </c>
      <c r="BQ23" s="8">
        <v>0.17299999999999999</v>
      </c>
      <c r="BR23" s="8">
        <v>6.4000000000000001E-2</v>
      </c>
      <c r="BS23" s="11">
        <v>-3.1792602404878686E-20</v>
      </c>
      <c r="BT23" s="12">
        <v>-1.7299999999999998E-4</v>
      </c>
      <c r="BW23">
        <v>270</v>
      </c>
      <c r="BY23" s="8">
        <v>7.6999999999999999E-2</v>
      </c>
      <c r="BZ23" s="8">
        <v>6.4000000000000001E-2</v>
      </c>
      <c r="CA23" s="11">
        <v>-1.415046465419456E-20</v>
      </c>
      <c r="CB23" s="12">
        <v>-7.7000000000000001E-5</v>
      </c>
    </row>
    <row r="24" spans="2:80" x14ac:dyDescent="0.3">
      <c r="B24">
        <v>-75</v>
      </c>
      <c r="C24">
        <v>285</v>
      </c>
      <c r="E24" s="9">
        <v>10.75</v>
      </c>
      <c r="F24" s="9">
        <v>1.4</v>
      </c>
      <c r="G24" s="11">
        <v>2.782304734852093E-3</v>
      </c>
      <c r="H24" s="12">
        <v>-1.0383702632607485E-2</v>
      </c>
      <c r="K24">
        <v>285</v>
      </c>
      <c r="M24" s="9">
        <v>37.11</v>
      </c>
      <c r="N24" s="9">
        <v>1.4</v>
      </c>
      <c r="O24" s="11">
        <v>9.6047747637545266E-3</v>
      </c>
      <c r="P24" s="12">
        <v>-3.584550741358733E-2</v>
      </c>
      <c r="S24">
        <v>285</v>
      </c>
      <c r="U24" s="9">
        <v>69.400000000000006</v>
      </c>
      <c r="V24" s="9">
        <v>1.4</v>
      </c>
      <c r="W24" s="11">
        <v>1.7962041730114911E-2</v>
      </c>
      <c r="X24" s="12">
        <v>-6.7035252344461352E-2</v>
      </c>
      <c r="AA24">
        <v>285</v>
      </c>
      <c r="AC24" s="9">
        <v>75.67</v>
      </c>
      <c r="AD24" s="9">
        <v>1.4</v>
      </c>
      <c r="AE24" s="11">
        <v>1.9584837142907711E-2</v>
      </c>
      <c r="AF24" s="12">
        <v>-7.3091607275293805E-2</v>
      </c>
      <c r="AI24">
        <v>285</v>
      </c>
      <c r="AK24" s="9">
        <v>10.68</v>
      </c>
      <c r="AL24" s="9">
        <v>1.4</v>
      </c>
      <c r="AM24" s="11">
        <v>2.7641874016949169E-3</v>
      </c>
      <c r="AN24" s="12">
        <v>-1.0316087824767251E-2</v>
      </c>
      <c r="AQ24">
        <v>285</v>
      </c>
      <c r="AS24" s="9">
        <v>81.99</v>
      </c>
      <c r="AT24" s="9">
        <v>1.4</v>
      </c>
      <c r="AU24" s="11">
        <v>2.1220573507955639E-2</v>
      </c>
      <c r="AV24" s="12">
        <v>-7.9196258497440719E-2</v>
      </c>
      <c r="AY24">
        <v>285</v>
      </c>
      <c r="BA24" s="9">
        <v>75.150000000000006</v>
      </c>
      <c r="BB24" s="9">
        <v>1.4</v>
      </c>
      <c r="BC24" s="11">
        <v>1.9450251239454402E-2</v>
      </c>
      <c r="BD24" s="12">
        <v>-7.2589325845623498E-2</v>
      </c>
      <c r="BG24">
        <v>285</v>
      </c>
      <c r="BI24" s="9">
        <v>36.36</v>
      </c>
      <c r="BJ24" s="9">
        <v>1.4</v>
      </c>
      <c r="BK24" s="11">
        <v>9.4106604799276371E-3</v>
      </c>
      <c r="BL24" s="12">
        <v>-3.5121063043870526E-2</v>
      </c>
      <c r="BO24">
        <v>285</v>
      </c>
      <c r="BQ24" s="9">
        <v>16.28</v>
      </c>
      <c r="BR24" s="9">
        <v>1.4</v>
      </c>
      <c r="BS24" s="11">
        <v>4.2135740542690314E-3</v>
      </c>
      <c r="BT24" s="12">
        <v>-1.5725272451986037E-2</v>
      </c>
      <c r="BW24">
        <v>285</v>
      </c>
      <c r="BY24" s="10">
        <v>13.06</v>
      </c>
      <c r="BZ24" s="10">
        <v>1.4</v>
      </c>
      <c r="CA24" s="11">
        <v>3.3801767290389151E-3</v>
      </c>
      <c r="CB24" s="12">
        <v>-1.2614991291335234E-2</v>
      </c>
    </row>
    <row r="25" spans="2:80" x14ac:dyDescent="0.3">
      <c r="B25">
        <v>-60</v>
      </c>
      <c r="C25">
        <v>300</v>
      </c>
      <c r="E25" s="9">
        <v>40.81</v>
      </c>
      <c r="F25" s="9">
        <v>1.4</v>
      </c>
      <c r="G25" s="11">
        <v>2.0405000000000003E-2</v>
      </c>
      <c r="H25" s="12">
        <v>-3.5342496728442939E-2</v>
      </c>
      <c r="K25">
        <v>300</v>
      </c>
      <c r="M25" s="9">
        <v>37.590000000000003</v>
      </c>
      <c r="N25" s="9">
        <v>1.4</v>
      </c>
      <c r="O25" s="11">
        <v>1.8795000000000006E-2</v>
      </c>
      <c r="P25" s="12">
        <v>-3.2553894928257054E-2</v>
      </c>
      <c r="S25">
        <v>300</v>
      </c>
      <c r="U25" s="9">
        <v>72.239999999999995</v>
      </c>
      <c r="V25" s="9">
        <v>1.4</v>
      </c>
      <c r="W25" s="11">
        <v>3.6120000000000006E-2</v>
      </c>
      <c r="X25" s="12">
        <v>-6.2561675169387848E-2</v>
      </c>
      <c r="AA25">
        <v>300</v>
      </c>
      <c r="AC25" s="9">
        <v>82.13</v>
      </c>
      <c r="AD25" s="9">
        <v>1.4</v>
      </c>
      <c r="AE25" s="11">
        <v>4.1065000000000004E-2</v>
      </c>
      <c r="AF25" s="12">
        <v>-7.1126666412815939E-2</v>
      </c>
      <c r="AI25">
        <v>300</v>
      </c>
      <c r="AK25" s="9">
        <v>40.380000000000003</v>
      </c>
      <c r="AL25" s="9">
        <v>1.4</v>
      </c>
      <c r="AM25" s="11">
        <v>2.0190000000000003E-2</v>
      </c>
      <c r="AN25" s="12">
        <v>-3.4970105804815632E-2</v>
      </c>
      <c r="AQ25">
        <v>300</v>
      </c>
      <c r="AS25" s="3">
        <v>103.2</v>
      </c>
      <c r="AT25" s="3">
        <v>2.6</v>
      </c>
      <c r="AU25" s="11">
        <v>5.1600000000000014E-2</v>
      </c>
      <c r="AV25" s="12">
        <v>-8.9373821670554063E-2</v>
      </c>
      <c r="AY25">
        <v>300</v>
      </c>
      <c r="BA25" s="9">
        <v>75.709999999999994</v>
      </c>
      <c r="BB25" s="9">
        <v>1.4</v>
      </c>
      <c r="BC25" s="11">
        <v>3.7855000000000007E-2</v>
      </c>
      <c r="BD25" s="12">
        <v>-6.556678332051985E-2</v>
      </c>
      <c r="BG25">
        <v>300</v>
      </c>
      <c r="BI25" s="9">
        <v>37.57</v>
      </c>
      <c r="BJ25" s="9">
        <v>1.4</v>
      </c>
      <c r="BK25" s="11">
        <v>1.8785000000000003E-2</v>
      </c>
      <c r="BL25" s="12">
        <v>-3.2536574420181361E-2</v>
      </c>
      <c r="BO25">
        <v>300</v>
      </c>
      <c r="BQ25" s="9">
        <v>45.44</v>
      </c>
      <c r="BR25" s="9">
        <v>1.4</v>
      </c>
      <c r="BS25" s="11">
        <v>2.2720000000000001E-2</v>
      </c>
      <c r="BT25" s="12">
        <v>-3.9352194347964886E-2</v>
      </c>
      <c r="BW25">
        <v>300</v>
      </c>
      <c r="BY25" s="10">
        <v>43.42</v>
      </c>
      <c r="BZ25" s="10">
        <v>1.4</v>
      </c>
      <c r="CA25" s="11">
        <v>2.1710000000000004E-2</v>
      </c>
      <c r="CB25" s="12">
        <v>-3.7602823032320327E-2</v>
      </c>
    </row>
    <row r="26" spans="2:80" x14ac:dyDescent="0.3">
      <c r="B26">
        <v>-45</v>
      </c>
      <c r="C26">
        <v>315</v>
      </c>
      <c r="E26" s="9">
        <v>81.97</v>
      </c>
      <c r="F26" s="9">
        <v>1.4</v>
      </c>
      <c r="G26" s="11">
        <v>5.7961542853861285E-2</v>
      </c>
      <c r="H26" s="12">
        <v>-5.7961542853861313E-2</v>
      </c>
      <c r="K26">
        <v>315</v>
      </c>
      <c r="M26" s="9">
        <v>42.2</v>
      </c>
      <c r="N26" s="9">
        <v>1.4</v>
      </c>
      <c r="O26" s="11">
        <v>2.9839906166072298E-2</v>
      </c>
      <c r="P26" s="12">
        <v>-2.9839906166072312E-2</v>
      </c>
      <c r="S26">
        <v>315</v>
      </c>
      <c r="U26" s="9">
        <v>77.11</v>
      </c>
      <c r="V26" s="9">
        <v>1.4</v>
      </c>
      <c r="W26" s="11">
        <v>5.4525003897294665E-2</v>
      </c>
      <c r="X26" s="12">
        <v>-5.4525003897294692E-2</v>
      </c>
      <c r="AA26">
        <v>315</v>
      </c>
      <c r="AC26" s="3">
        <v>103.3</v>
      </c>
      <c r="AD26" s="3">
        <v>2.6</v>
      </c>
      <c r="AE26" s="11">
        <v>7.3044130496570339E-2</v>
      </c>
      <c r="AF26" s="12">
        <v>-7.3044130496570381E-2</v>
      </c>
      <c r="AI26">
        <v>315</v>
      </c>
      <c r="AK26" s="9">
        <v>80.22</v>
      </c>
      <c r="AL26" s="9">
        <v>1.4</v>
      </c>
      <c r="AM26" s="11">
        <v>5.6724105986784831E-2</v>
      </c>
      <c r="AN26" s="12">
        <v>-5.6724105986784852E-2</v>
      </c>
      <c r="AQ26">
        <v>315</v>
      </c>
      <c r="AS26" s="3">
        <v>116.1</v>
      </c>
      <c r="AT26" s="3">
        <v>2.6</v>
      </c>
      <c r="AU26" s="11">
        <v>8.2095097295758146E-2</v>
      </c>
      <c r="AV26" s="12">
        <v>-8.2095097295758188E-2</v>
      </c>
      <c r="AY26">
        <v>315</v>
      </c>
      <c r="BA26" s="9">
        <v>76.739999999999995</v>
      </c>
      <c r="BB26" s="9">
        <v>1.4</v>
      </c>
      <c r="BC26" s="11">
        <v>5.4263374388255639E-2</v>
      </c>
      <c r="BD26" s="12">
        <v>-5.426337438825566E-2</v>
      </c>
      <c r="BG26">
        <v>315</v>
      </c>
      <c r="BI26" s="9">
        <v>41.52</v>
      </c>
      <c r="BJ26" s="9">
        <v>1.4</v>
      </c>
      <c r="BK26" s="11">
        <v>2.9359073554865448E-2</v>
      </c>
      <c r="BL26" s="12">
        <v>-2.9359073554865462E-2</v>
      </c>
      <c r="BO26">
        <v>315</v>
      </c>
      <c r="BQ26" s="9">
        <v>88.48</v>
      </c>
      <c r="BR26" s="9">
        <v>1.4</v>
      </c>
      <c r="BS26" s="11">
        <v>6.2564807999385713E-2</v>
      </c>
      <c r="BT26" s="12">
        <v>-6.2564807999385741E-2</v>
      </c>
      <c r="BW26">
        <v>315</v>
      </c>
      <c r="BY26" s="10">
        <v>85.16</v>
      </c>
      <c r="BZ26" s="10">
        <v>1.4</v>
      </c>
      <c r="CA26" s="11">
        <v>6.0217213485846369E-2</v>
      </c>
      <c r="CB26" s="12">
        <v>-6.0217213485846403E-2</v>
      </c>
    </row>
    <row r="27" spans="2:80" x14ac:dyDescent="0.3">
      <c r="B27">
        <v>-30</v>
      </c>
      <c r="C27">
        <v>330</v>
      </c>
      <c r="E27" s="3">
        <v>122.1</v>
      </c>
      <c r="F27" s="3">
        <v>2.6</v>
      </c>
      <c r="G27" s="11">
        <v>0.10574170180207992</v>
      </c>
      <c r="H27" s="12">
        <v>-6.1050000000000056E-2</v>
      </c>
      <c r="K27">
        <v>330</v>
      </c>
      <c r="M27" s="9">
        <v>69.7</v>
      </c>
      <c r="N27" s="9">
        <v>1.4</v>
      </c>
      <c r="O27" s="11">
        <v>6.0361970643775353E-2</v>
      </c>
      <c r="P27" s="12">
        <v>-3.4850000000000027E-2</v>
      </c>
      <c r="S27">
        <v>330</v>
      </c>
      <c r="U27" s="9">
        <v>79.67</v>
      </c>
      <c r="V27" s="9">
        <v>1.4</v>
      </c>
      <c r="W27" s="11">
        <v>6.8996243919506206E-2</v>
      </c>
      <c r="X27" s="12">
        <v>-3.9835000000000037E-2</v>
      </c>
      <c r="AA27">
        <v>330</v>
      </c>
      <c r="AC27" s="3">
        <v>114.1</v>
      </c>
      <c r="AD27" s="3">
        <v>2.6</v>
      </c>
      <c r="AE27" s="11">
        <v>9.8813498571804409E-2</v>
      </c>
      <c r="AF27" s="12">
        <v>-5.7050000000000045E-2</v>
      </c>
      <c r="AI27">
        <v>330</v>
      </c>
      <c r="AK27" s="3">
        <v>120.1</v>
      </c>
      <c r="AL27" s="3">
        <v>2.6</v>
      </c>
      <c r="AM27" s="11">
        <v>0.10400965099451105</v>
      </c>
      <c r="AN27" s="12">
        <v>-6.0050000000000055E-2</v>
      </c>
      <c r="AQ27">
        <v>330</v>
      </c>
      <c r="AS27" s="3">
        <v>115.5</v>
      </c>
      <c r="AT27" s="3">
        <v>2.6</v>
      </c>
      <c r="AU27" s="11">
        <v>0.10002593413710263</v>
      </c>
      <c r="AV27" s="12">
        <v>-5.7750000000000051E-2</v>
      </c>
      <c r="AY27">
        <v>330</v>
      </c>
      <c r="BA27" s="9">
        <v>79.19</v>
      </c>
      <c r="BB27" s="9">
        <v>1.4</v>
      </c>
      <c r="BC27" s="11">
        <v>6.8580551725689678E-2</v>
      </c>
      <c r="BD27" s="12">
        <v>-3.9595000000000033E-2</v>
      </c>
      <c r="BG27">
        <v>330</v>
      </c>
      <c r="BI27" s="9">
        <v>70.19</v>
      </c>
      <c r="BJ27" s="9">
        <v>1.4</v>
      </c>
      <c r="BK27" s="11">
        <v>6.0786323091629735E-2</v>
      </c>
      <c r="BL27" s="12">
        <v>-3.5095000000000029E-2</v>
      </c>
      <c r="BO27">
        <v>330</v>
      </c>
      <c r="BQ27" s="3">
        <v>122.9</v>
      </c>
      <c r="BR27" s="3">
        <v>2.6</v>
      </c>
      <c r="BS27" s="11">
        <v>0.10643452212510748</v>
      </c>
      <c r="BT27" s="12">
        <v>-6.145000000000006E-2</v>
      </c>
      <c r="BW27">
        <v>330</v>
      </c>
      <c r="BY27" s="3">
        <v>121.1</v>
      </c>
      <c r="BZ27" s="3">
        <v>2.6</v>
      </c>
      <c r="CA27" s="11">
        <v>0.10487567639829548</v>
      </c>
      <c r="CB27" s="12">
        <v>-6.0550000000000055E-2</v>
      </c>
    </row>
    <row r="28" spans="2:80" x14ac:dyDescent="0.3">
      <c r="B28">
        <v>-15</v>
      </c>
      <c r="C28">
        <v>345</v>
      </c>
      <c r="E28" s="3">
        <v>158.19999999999999</v>
      </c>
      <c r="F28" s="3">
        <v>2.6</v>
      </c>
      <c r="G28" s="11">
        <v>0.15280946571893059</v>
      </c>
      <c r="H28" s="12">
        <v>-4.0945172935218765E-2</v>
      </c>
      <c r="K28">
        <v>345</v>
      </c>
      <c r="M28" s="9">
        <v>83.24</v>
      </c>
      <c r="N28" s="9">
        <v>1.4</v>
      </c>
      <c r="O28" s="11">
        <v>8.0403665780302044E-2</v>
      </c>
      <c r="P28" s="12">
        <v>-2.1544097314333821E-2</v>
      </c>
      <c r="S28">
        <v>345</v>
      </c>
      <c r="U28" s="9">
        <v>81.5</v>
      </c>
      <c r="V28" s="9">
        <v>1.4</v>
      </c>
      <c r="W28" s="11">
        <v>7.8722954842559076E-2</v>
      </c>
      <c r="X28" s="12">
        <v>-2.1093752175855438E-2</v>
      </c>
      <c r="AA28">
        <v>345</v>
      </c>
      <c r="AC28" s="3">
        <v>111.9</v>
      </c>
      <c r="AD28" s="3">
        <v>2.6</v>
      </c>
      <c r="AE28" s="11">
        <v>0.10808709996174674</v>
      </c>
      <c r="AF28" s="12">
        <v>-2.8961851146972063E-2</v>
      </c>
      <c r="AI28">
        <v>345</v>
      </c>
      <c r="AK28" s="3">
        <v>149</v>
      </c>
      <c r="AL28" s="3">
        <v>2.6</v>
      </c>
      <c r="AM28" s="11">
        <v>0.14392294811707118</v>
      </c>
      <c r="AN28" s="12">
        <v>-3.8564037720275578E-2</v>
      </c>
      <c r="AQ28">
        <v>345</v>
      </c>
      <c r="AS28" s="3">
        <v>104.6</v>
      </c>
      <c r="AT28" s="3">
        <v>2.6</v>
      </c>
      <c r="AU28" s="11">
        <v>0.10103584142983654</v>
      </c>
      <c r="AV28" s="12">
        <v>-2.7072472117723664E-2</v>
      </c>
      <c r="AY28">
        <v>345</v>
      </c>
      <c r="BA28" s="9">
        <v>79.989999999999995</v>
      </c>
      <c r="BB28" s="9">
        <v>1.4</v>
      </c>
      <c r="BC28" s="11">
        <v>7.7264406844862563E-2</v>
      </c>
      <c r="BD28" s="12">
        <v>-2.0702935417750628E-2</v>
      </c>
      <c r="BG28">
        <v>345</v>
      </c>
      <c r="BI28" s="9">
        <v>86.04</v>
      </c>
      <c r="BJ28" s="9">
        <v>1.4</v>
      </c>
      <c r="BK28" s="11">
        <v>8.3108258093911438E-2</v>
      </c>
      <c r="BL28" s="12">
        <v>-2.2268790640620879E-2</v>
      </c>
      <c r="BO28">
        <v>345</v>
      </c>
      <c r="BQ28" s="3">
        <v>154.4</v>
      </c>
      <c r="BR28" s="3">
        <v>2.6</v>
      </c>
      <c r="BS28" s="11">
        <v>0.14913894757903215</v>
      </c>
      <c r="BT28" s="12">
        <v>-3.9961660563829195E-2</v>
      </c>
      <c r="BW28">
        <v>345</v>
      </c>
      <c r="BY28" s="3">
        <v>153.6</v>
      </c>
      <c r="BZ28" s="3">
        <v>2.6</v>
      </c>
      <c r="CA28" s="11">
        <v>0.14836620691800087</v>
      </c>
      <c r="CB28" s="12">
        <v>-3.9754605327747175E-2</v>
      </c>
    </row>
    <row r="29" spans="2:80" x14ac:dyDescent="0.3">
      <c r="B29">
        <v>0</v>
      </c>
      <c r="C29">
        <v>360</v>
      </c>
      <c r="E29" s="3">
        <v>160.1</v>
      </c>
      <c r="F29" s="3">
        <v>2.6</v>
      </c>
      <c r="G29" s="11">
        <v>0.16009999999999999</v>
      </c>
      <c r="H29" s="12">
        <v>-3.9229253526174009E-17</v>
      </c>
      <c r="K29">
        <v>360</v>
      </c>
      <c r="M29" s="3">
        <v>116</v>
      </c>
      <c r="N29" s="3">
        <v>2.6</v>
      </c>
      <c r="O29" s="11">
        <v>0.11600000000000001</v>
      </c>
      <c r="P29" s="12">
        <v>-2.8423444153879987E-17</v>
      </c>
      <c r="S29">
        <v>360</v>
      </c>
      <c r="U29" s="9">
        <v>85</v>
      </c>
      <c r="V29" s="9">
        <v>1.4</v>
      </c>
      <c r="W29" s="11">
        <v>8.5000000000000006E-2</v>
      </c>
      <c r="X29" s="12">
        <v>-2.0827523733446543E-17</v>
      </c>
      <c r="AA29">
        <v>360</v>
      </c>
      <c r="AC29" s="9">
        <v>92.91</v>
      </c>
      <c r="AD29" s="9">
        <v>1.4</v>
      </c>
      <c r="AE29" s="11">
        <v>9.2909999999999993E-2</v>
      </c>
      <c r="AF29" s="12">
        <v>-2.2765708589111976E-17</v>
      </c>
      <c r="AI29">
        <v>360</v>
      </c>
      <c r="AK29" s="3">
        <v>156</v>
      </c>
      <c r="AL29" s="3">
        <v>2.6</v>
      </c>
      <c r="AM29" s="11">
        <v>0.156</v>
      </c>
      <c r="AN29" s="12">
        <v>-3.8224631793148945E-17</v>
      </c>
      <c r="AQ29">
        <v>360</v>
      </c>
      <c r="AS29" s="9">
        <v>81.55</v>
      </c>
      <c r="AT29" s="9">
        <v>1.4</v>
      </c>
      <c r="AU29" s="11">
        <v>8.1549999999999997E-2</v>
      </c>
      <c r="AV29" s="12">
        <v>-1.9982171299559592E-17</v>
      </c>
      <c r="AY29">
        <v>360</v>
      </c>
      <c r="BA29" s="9">
        <v>80.16</v>
      </c>
      <c r="BB29" s="9">
        <v>1.4</v>
      </c>
      <c r="BC29" s="11">
        <v>8.0159999999999995E-2</v>
      </c>
      <c r="BD29" s="12">
        <v>-1.9641580029094995E-17</v>
      </c>
      <c r="BG29">
        <v>360</v>
      </c>
      <c r="BI29" s="3">
        <v>116.9</v>
      </c>
      <c r="BJ29" s="3">
        <v>2.6</v>
      </c>
      <c r="BK29" s="11">
        <v>0.1169</v>
      </c>
      <c r="BL29" s="12">
        <v>-2.8643970875763538E-17</v>
      </c>
      <c r="BO29">
        <v>360</v>
      </c>
      <c r="BQ29" s="3">
        <v>150.5</v>
      </c>
      <c r="BR29" s="3">
        <v>2.6</v>
      </c>
      <c r="BS29" s="11">
        <v>0.15049999999999999</v>
      </c>
      <c r="BT29" s="12">
        <v>-3.6876968492749462E-17</v>
      </c>
      <c r="BW29">
        <v>360</v>
      </c>
      <c r="BY29" s="3">
        <v>157.69999999999999</v>
      </c>
      <c r="BZ29" s="3">
        <v>2.6</v>
      </c>
      <c r="CA29" s="11">
        <v>0.15769999999999998</v>
      </c>
      <c r="CB29" s="12">
        <v>-3.8641182267817868E-17</v>
      </c>
    </row>
    <row r="30" spans="2:80" x14ac:dyDescent="0.3">
      <c r="F30" s="3"/>
      <c r="N30" s="3"/>
      <c r="V30" s="3"/>
      <c r="AC30" s="4"/>
      <c r="AD30" s="3"/>
      <c r="AK30" s="3"/>
      <c r="AL30" s="3"/>
      <c r="AS30" s="4"/>
      <c r="AT30" s="3"/>
      <c r="BA30" s="4"/>
      <c r="BB30" s="3"/>
      <c r="BI30" s="3"/>
      <c r="BJ30" s="3"/>
    </row>
    <row r="31" spans="2:80" x14ac:dyDescent="0.3">
      <c r="F31" s="3"/>
      <c r="N31" s="3"/>
      <c r="U31" s="4"/>
      <c r="V31" s="3"/>
      <c r="AC31" s="4"/>
      <c r="AD31" s="3"/>
      <c r="AK31" s="3"/>
      <c r="AL31" s="3"/>
      <c r="AS31" s="4"/>
      <c r="AT31" s="3"/>
      <c r="BA31" s="4"/>
      <c r="BB31" s="3"/>
      <c r="BI31" s="3"/>
      <c r="BJ31" s="3"/>
    </row>
    <row r="32" spans="2:80" x14ac:dyDescent="0.3">
      <c r="F32" s="3"/>
      <c r="N32" s="3"/>
      <c r="U32" s="3"/>
      <c r="V32" s="3"/>
      <c r="AC32" s="4"/>
      <c r="AD32" s="3"/>
      <c r="AK32" s="4"/>
      <c r="AL32" s="3"/>
      <c r="AS32" s="4"/>
      <c r="AT32" s="3"/>
      <c r="BA32" s="3"/>
      <c r="BB32" s="3"/>
      <c r="BI32" s="3"/>
      <c r="BJ32" s="3"/>
    </row>
    <row r="33" spans="6:62" x14ac:dyDescent="0.3">
      <c r="F33" s="3"/>
      <c r="N33" s="3"/>
      <c r="U33" s="3"/>
      <c r="V33" s="3"/>
      <c r="AC33" s="4"/>
      <c r="AD33" s="3"/>
      <c r="AK33" s="4"/>
      <c r="AL33" s="3"/>
      <c r="AS33" s="4"/>
      <c r="AT33" s="3"/>
      <c r="BA33" s="3"/>
      <c r="BB33" s="3"/>
      <c r="BI33" s="3"/>
      <c r="BJ33" s="3"/>
    </row>
    <row r="34" spans="6:62" x14ac:dyDescent="0.3">
      <c r="F34" s="3"/>
      <c r="N34" s="3"/>
      <c r="U34" s="3"/>
      <c r="V34" s="3"/>
      <c r="AC34" s="3"/>
      <c r="AD34" s="3"/>
      <c r="AK34" s="4"/>
      <c r="AL34" s="3"/>
      <c r="AS34" s="3"/>
      <c r="AT34" s="3"/>
      <c r="BA34" s="3"/>
      <c r="BB34" s="3"/>
      <c r="BI34" s="3"/>
      <c r="BJ34" s="3"/>
    </row>
    <row r="35" spans="6:62" x14ac:dyDescent="0.3">
      <c r="F35" s="3"/>
      <c r="N35" s="3"/>
      <c r="U35" s="3"/>
      <c r="V35" s="3"/>
      <c r="AC35" s="3"/>
      <c r="AD35" s="3"/>
      <c r="AK35" s="3"/>
      <c r="AL35" s="3"/>
      <c r="AS35" s="3"/>
      <c r="AT35" s="3"/>
      <c r="BA35" s="3"/>
      <c r="BB35" s="3"/>
      <c r="BI35" s="3"/>
      <c r="BJ35" s="3"/>
    </row>
    <row r="36" spans="6:62" x14ac:dyDescent="0.3">
      <c r="F36" s="3"/>
      <c r="N36" s="3"/>
      <c r="U36" s="3"/>
      <c r="V36" s="3"/>
      <c r="AC36" s="3"/>
      <c r="AD36" s="3"/>
      <c r="AK36" s="3"/>
      <c r="AL36" s="3"/>
      <c r="AS36" s="3"/>
      <c r="AT36" s="3"/>
      <c r="BA36" s="3"/>
      <c r="BB36" s="3"/>
      <c r="BI36" s="3"/>
      <c r="BJ36" s="3"/>
    </row>
    <row r="37" spans="6:62" x14ac:dyDescent="0.3">
      <c r="F37" s="3"/>
      <c r="N37" s="3"/>
      <c r="U37" s="3"/>
      <c r="V37" s="3"/>
      <c r="AC37" s="3"/>
      <c r="AD37" s="3"/>
      <c r="AK37" s="3"/>
      <c r="AL37" s="3"/>
      <c r="AS37" s="3"/>
      <c r="AT37" s="3"/>
      <c r="BA37" s="3"/>
      <c r="BB37" s="3"/>
      <c r="BI37" s="3"/>
      <c r="BJ37" s="3"/>
    </row>
    <row r="38" spans="6:62" x14ac:dyDescent="0.3">
      <c r="F38" s="3"/>
      <c r="N38" s="3"/>
      <c r="U38" s="3"/>
      <c r="V38" s="3"/>
      <c r="AC38" s="3"/>
      <c r="AD38" s="3"/>
      <c r="AK38" s="3"/>
      <c r="AL38" s="3"/>
      <c r="AS38" s="3"/>
      <c r="AT38" s="3"/>
      <c r="BA38" s="3"/>
      <c r="BB38" s="3"/>
      <c r="BI38" s="3"/>
      <c r="BJ38" s="3"/>
    </row>
    <row r="39" spans="6:62" x14ac:dyDescent="0.3">
      <c r="F39" s="3"/>
      <c r="N39" s="3"/>
      <c r="U39" s="3"/>
      <c r="V39" s="3"/>
      <c r="AC39" s="3"/>
      <c r="AD39" s="3"/>
      <c r="AK39" s="3"/>
      <c r="AL39" s="3"/>
      <c r="AS39" s="3"/>
      <c r="AT39" s="3"/>
      <c r="BA39" s="3"/>
      <c r="BB39" s="3"/>
      <c r="BI39" s="3"/>
      <c r="BJ39" s="3"/>
    </row>
    <row r="40" spans="6:62" x14ac:dyDescent="0.3">
      <c r="F40" s="3"/>
      <c r="N40" s="3"/>
      <c r="U40" s="3"/>
      <c r="V40" s="3"/>
      <c r="AC40" s="3"/>
      <c r="AD40" s="3"/>
      <c r="AK40" s="3"/>
      <c r="AL40" s="3"/>
      <c r="AS40" s="3"/>
      <c r="AT40" s="3"/>
      <c r="BA40" s="3"/>
      <c r="BB40" s="3"/>
      <c r="BI40" s="3"/>
      <c r="BJ40" s="3"/>
    </row>
    <row r="41" spans="6:62" x14ac:dyDescent="0.3">
      <c r="F41" s="3"/>
      <c r="N41" s="3"/>
      <c r="U41" s="3"/>
      <c r="V41" s="3"/>
      <c r="AC41" s="3"/>
      <c r="AD41" s="3"/>
      <c r="AK41" s="3"/>
      <c r="AL41" s="3"/>
      <c r="AS41" s="3"/>
      <c r="AT41" s="3"/>
      <c r="BA41" s="3"/>
      <c r="BB41" s="3"/>
      <c r="BI41" s="3"/>
      <c r="BJ41" s="3"/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Sheet2 - blank</vt:lpstr>
      <vt:lpstr>Sheet2 (2)</vt:lpstr>
      <vt:lpstr>Sheet2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Filipa Santos</dc:creator>
  <cp:lastModifiedBy>Filipa Santos</cp:lastModifiedBy>
  <dcterms:created xsi:type="dcterms:W3CDTF">2025-05-05T09:54:50Z</dcterms:created>
  <dcterms:modified xsi:type="dcterms:W3CDTF">2026-01-11T20:19:35Z</dcterms:modified>
</cp:coreProperties>
</file>